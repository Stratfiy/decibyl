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lans" sheetId="2" state="visible" r:id="rId2"/>
    <sheet name="Model" sheetId="3" state="visible" r:id="rId3"/>
    <sheet name="BalanceSheet" sheetId="4" state="visible" r:id="rId4"/>
    <sheet name="Knowled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-"/>
    <numFmt numFmtId="165" formatCode="₹#,##0.00;(₹#,##0.00);-"/>
    <numFmt numFmtId="166" formatCode="₹#,##0;(₹#,##0);-"/>
    <numFmt numFmtId="167" formatCode="0.0%"/>
    <numFmt numFmtId="168" formatCode="₹0.000"/>
    <numFmt numFmtId="169" formatCode="0.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</font>
    <font>
      <name val="Arial"/>
      <b val="1"/>
    </font>
    <font>
      <name val="Arial"/>
      <color rgb="000000FF"/>
    </font>
    <font>
      <name val="Arial"/>
    </font>
    <font>
      <name val="Arial"/>
      <color rgb="00008000"/>
    </font>
    <font>
      <name val="Arial"/>
      <color rgb="00666666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DEDED"/>
      </patternFill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3" borderId="0" pivotButton="0" quotePrefix="0" xfId="0"/>
    <xf numFmtId="164" fontId="4" fillId="2" borderId="0" pivotButton="0" quotePrefix="0" xfId="0"/>
    <xf numFmtId="0" fontId="7" fillId="0" borderId="0" pivotButton="0" quotePrefix="0" xfId="0"/>
    <xf numFmtId="165" fontId="4" fillId="2" borderId="0" pivotButton="0" quotePrefix="0" xfId="0"/>
    <xf numFmtId="166" fontId="4" fillId="2" borderId="0" pivotButton="0" quotePrefix="0" xfId="0"/>
    <xf numFmtId="167" fontId="4" fillId="2" borderId="0" pivotButton="0" quotePrefix="0" xfId="0"/>
    <xf numFmtId="168" fontId="4" fillId="2" borderId="0" pivotButton="0" quotePrefix="0" xfId="0"/>
    <xf numFmtId="0" fontId="8" fillId="4" borderId="0" applyAlignment="1" pivotButton="0" quotePrefix="0" xfId="0">
      <alignment horizontal="center" wrapText="1"/>
    </xf>
    <xf numFmtId="166" fontId="6" fillId="0" borderId="0" pivotButton="0" quotePrefix="0" xfId="0"/>
    <xf numFmtId="166" fontId="5" fillId="0" borderId="0" pivotButton="0" quotePrefix="0" xfId="0"/>
    <xf numFmtId="164" fontId="5" fillId="0" borderId="0" pivotButton="0" quotePrefix="0" xfId="0"/>
    <xf numFmtId="167" fontId="5" fillId="0" borderId="0" pivotButton="0" quotePrefix="0" xfId="0"/>
    <xf numFmtId="167" fontId="6" fillId="0" borderId="0" pivotButton="0" quotePrefix="0" xfId="0"/>
    <xf numFmtId="169" fontId="5" fillId="0" borderId="0" pivotButton="0" quotePrefix="0" xfId="0"/>
    <xf numFmtId="164" fontId="6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Decibyl financial model, assumptions</t>
        </is>
      </c>
    </row>
    <row r="2">
      <c r="A2" s="2" t="inlineStr">
        <is>
          <t>Blue cells with yellow fill are inputs. Every other sheet computes from here. Dated 14 Sept 2026; sources in column D.</t>
        </is>
      </c>
    </row>
    <row r="4">
      <c r="A4" s="3" t="inlineStr">
        <is>
          <t>LEGEND</t>
        </is>
      </c>
    </row>
    <row r="5">
      <c r="A5" s="4" t="inlineStr">
        <is>
          <t>Input, edit me</t>
        </is>
      </c>
    </row>
    <row r="6">
      <c r="A6" s="5" t="inlineStr">
        <is>
          <t>Formula, do not edit</t>
        </is>
      </c>
    </row>
    <row r="7">
      <c r="A7" s="6" t="inlineStr">
        <is>
          <t>Link from another sheet</t>
        </is>
      </c>
    </row>
    <row r="9">
      <c r="A9" s="7" t="inlineStr">
        <is>
          <t>General</t>
        </is>
      </c>
    </row>
    <row r="10">
      <c r="A10" s="5" t="inlineStr">
        <is>
          <t>INR per USD</t>
        </is>
      </c>
      <c r="B10" s="8" t="n">
        <v>96</v>
      </c>
      <c r="D10" s="9" t="inlineStr">
        <is>
          <t>data/pricing.ts USD_RATE</t>
        </is>
      </c>
    </row>
    <row r="11">
      <c r="A11" s="5" t="inlineStr">
        <is>
          <t>Value of one credit, ₹</t>
        </is>
      </c>
      <c r="B11" s="10" t="n">
        <v>0.5</v>
      </c>
      <c r="D11" s="9" t="inlineStr">
        <is>
          <t>Pricing decision, 14 Sept: 1 credit = ₹0.50 of composed cost</t>
        </is>
      </c>
    </row>
    <row r="12">
      <c r="A12" s="5" t="inlineStr">
        <is>
          <t>Opening cash, ₹</t>
        </is>
      </c>
      <c r="B12" s="11" t="n">
        <v>500000</v>
      </c>
      <c r="D12" s="9" t="inlineStr">
        <is>
          <t>ROADMAP.md: about ₹5L runway. Founder-stated</t>
        </is>
      </c>
    </row>
    <row r="13">
      <c r="A13" s="5" t="inlineStr">
        <is>
          <t>Payment fee, % of revenue</t>
        </is>
      </c>
      <c r="B13" s="12" t="n">
        <v>0.024</v>
      </c>
      <c r="D13" s="9" t="inlineStr">
        <is>
          <t>Razorpay 2% + GST; baked into price</t>
        </is>
      </c>
    </row>
    <row r="14">
      <c r="A14" s="5" t="inlineStr">
        <is>
          <t>Months modelled</t>
        </is>
      </c>
      <c r="B14" s="8" t="n">
        <v>24</v>
      </c>
      <c r="D14" s="9" t="inlineStr">
        <is>
          <t>Fixed at 24 in the Model sheet</t>
        </is>
      </c>
    </row>
    <row r="15">
      <c r="A15" s="7" t="inlineStr">
        <is>
          <t>Plans: price, credits, usage</t>
        </is>
      </c>
    </row>
    <row r="16">
      <c r="A16" s="5" t="inlineStr">
        <is>
          <t>Everyday: price ₹/month</t>
        </is>
      </c>
      <c r="B16" s="11" t="n">
        <v>999</v>
      </c>
      <c r="D16" s="9" t="inlineStr">
        <is>
          <t>As shipped 14 Sept: subscription_plans.py LADDER_SEED</t>
        </is>
      </c>
    </row>
    <row r="17">
      <c r="A17" s="5" t="inlineStr">
        <is>
          <t>Everyday: credits per month</t>
        </is>
      </c>
      <c r="B17" s="8" t="n">
        <v>2000</v>
      </c>
      <c r="D17" s="9" t="inlineStr"/>
    </row>
    <row r="18">
      <c r="A18" s="5" t="inlineStr">
        <is>
          <t>Everyday: share of plan credits actually used</t>
        </is>
      </c>
      <c r="B18" s="12" t="n">
        <v>0.6</v>
      </c>
      <c r="D18" s="9" t="inlineStr">
        <is>
          <t>Assumption; measure from the ledger after month 2</t>
        </is>
      </c>
    </row>
    <row r="19">
      <c r="A19" s="5" t="inlineStr">
        <is>
          <t>Everyday: top-up and overage revenue, % of plan price</t>
        </is>
      </c>
      <c r="B19" s="12" t="n">
        <v>0</v>
      </c>
      <c r="D19" s="9" t="inlineStr">
        <is>
          <t>Assumption; voice plans buy top-ups, text plan does not</t>
        </is>
      </c>
    </row>
    <row r="20">
      <c r="A20" s="5" t="inlineStr">
        <is>
          <t>Everyday: share of used credits spent on voice</t>
        </is>
      </c>
      <c r="B20" s="12" t="n">
        <v>0</v>
      </c>
      <c r="D20" s="9" t="inlineStr">
        <is>
          <t>Everyday has no voice by design</t>
        </is>
      </c>
    </row>
    <row r="21">
      <c r="A21" s="5" t="inlineStr">
        <is>
          <t>Everyday: monthly churn</t>
        </is>
      </c>
      <c r="B21" s="12" t="n">
        <v>0.08</v>
      </c>
      <c r="D21" s="9" t="inlineStr">
        <is>
          <t>Assumption; Indian SMB SaaS benchmarks 3 to 8%</t>
        </is>
      </c>
    </row>
    <row r="22">
      <c r="A22" s="5" t="inlineStr">
        <is>
          <t>Everyday: phone numbers included</t>
        </is>
      </c>
      <c r="B22" s="8" t="n">
        <v>0</v>
      </c>
      <c r="D22" s="9" t="inlineStr">
        <is>
          <t>Pricing ladder</t>
        </is>
      </c>
    </row>
    <row r="23">
      <c r="A23" s="5" t="inlineStr">
        <is>
          <t>Business: price ₹/month</t>
        </is>
      </c>
      <c r="B23" s="11" t="n">
        <v>2999</v>
      </c>
      <c r="D23" s="9" t="inlineStr">
        <is>
          <t>As shipped 14 Sept: subscription_plans.py LADDER_SEED</t>
        </is>
      </c>
    </row>
    <row r="24">
      <c r="A24" s="5" t="inlineStr">
        <is>
          <t>Business: credits per month</t>
        </is>
      </c>
      <c r="B24" s="8" t="n">
        <v>6000</v>
      </c>
      <c r="D24" s="9" t="inlineStr"/>
    </row>
    <row r="25">
      <c r="A25" s="5" t="inlineStr">
        <is>
          <t>Business: share of plan credits actually used</t>
        </is>
      </c>
      <c r="B25" s="12" t="n">
        <v>0.7</v>
      </c>
      <c r="D25" s="9" t="inlineStr">
        <is>
          <t>Assumption; measure from the ledger after month 2</t>
        </is>
      </c>
    </row>
    <row r="26">
      <c r="A26" s="5" t="inlineStr">
        <is>
          <t>Business: top-up and overage revenue, % of plan price</t>
        </is>
      </c>
      <c r="B26" s="12" t="n">
        <v>0.2</v>
      </c>
      <c r="D26" s="9" t="inlineStr">
        <is>
          <t>Assumption; voice plans buy top-ups, text plan does not</t>
        </is>
      </c>
    </row>
    <row r="27">
      <c r="A27" s="5" t="inlineStr">
        <is>
          <t>Business: share of used credits spent on voice</t>
        </is>
      </c>
      <c r="B27" s="12" t="n">
        <v>0.85</v>
      </c>
      <c r="D27" s="9" t="inlineStr">
        <is>
          <t>Everyday has no voice by design</t>
        </is>
      </c>
    </row>
    <row r="28">
      <c r="A28" s="5" t="inlineStr">
        <is>
          <t>Business: monthly churn</t>
        </is>
      </c>
      <c r="B28" s="12" t="n">
        <v>0.05</v>
      </c>
      <c r="D28" s="9" t="inlineStr">
        <is>
          <t>Assumption; Indian SMB SaaS benchmarks 3 to 8%</t>
        </is>
      </c>
    </row>
    <row r="29">
      <c r="A29" s="5" t="inlineStr">
        <is>
          <t>Business: phone numbers included</t>
        </is>
      </c>
      <c r="B29" s="8" t="n">
        <v>1</v>
      </c>
      <c r="D29" s="9" t="inlineStr">
        <is>
          <t>Pricing ladder</t>
        </is>
      </c>
    </row>
    <row r="30">
      <c r="A30" s="5" t="inlineStr">
        <is>
          <t>Growth: price ₹/month</t>
        </is>
      </c>
      <c r="B30" s="11" t="n">
        <v>9999</v>
      </c>
      <c r="D30" s="9" t="inlineStr">
        <is>
          <t>As shipped 14 Sept: subscription_plans.py LADDER_SEED</t>
        </is>
      </c>
    </row>
    <row r="31">
      <c r="A31" s="5" t="inlineStr">
        <is>
          <t>Growth: credits per month</t>
        </is>
      </c>
      <c r="B31" s="8" t="n">
        <v>25000</v>
      </c>
      <c r="D31" s="9" t="inlineStr"/>
    </row>
    <row r="32">
      <c r="A32" s="5" t="inlineStr">
        <is>
          <t>Growth: share of plan credits actually used</t>
        </is>
      </c>
      <c r="B32" s="12" t="n">
        <v>0.75</v>
      </c>
      <c r="D32" s="9" t="inlineStr">
        <is>
          <t>Assumption; measure from the ledger after month 2</t>
        </is>
      </c>
    </row>
    <row r="33">
      <c r="A33" s="5" t="inlineStr">
        <is>
          <t>Growth: top-up and overage revenue, % of plan price</t>
        </is>
      </c>
      <c r="B33" s="12" t="n">
        <v>0.25</v>
      </c>
      <c r="D33" s="9" t="inlineStr">
        <is>
          <t>Assumption; voice plans buy top-ups, text plan does not</t>
        </is>
      </c>
    </row>
    <row r="34">
      <c r="A34" s="5" t="inlineStr">
        <is>
          <t>Growth: share of used credits spent on voice</t>
        </is>
      </c>
      <c r="B34" s="12" t="n">
        <v>0.9</v>
      </c>
      <c r="D34" s="9" t="inlineStr">
        <is>
          <t>Everyday has no voice by design</t>
        </is>
      </c>
    </row>
    <row r="35">
      <c r="A35" s="5" t="inlineStr">
        <is>
          <t>Growth: monthly churn</t>
        </is>
      </c>
      <c r="B35" s="12" t="n">
        <v>0.03</v>
      </c>
      <c r="D35" s="9" t="inlineStr">
        <is>
          <t>Assumption; Indian SMB SaaS benchmarks 3 to 8%</t>
        </is>
      </c>
    </row>
    <row r="36">
      <c r="A36" s="5" t="inlineStr">
        <is>
          <t>Growth: phone numbers included</t>
        </is>
      </c>
      <c r="B36" s="8" t="n">
        <v>2</v>
      </c>
      <c r="D36" s="9" t="inlineStr">
        <is>
          <t>Pricing ladder</t>
        </is>
      </c>
    </row>
    <row r="37">
      <c r="A37" s="5" t="inlineStr">
        <is>
          <t>Scale: price ₹/month</t>
        </is>
      </c>
      <c r="B37" s="11" t="n">
        <v>19999</v>
      </c>
      <c r="D37" s="9" t="inlineStr">
        <is>
          <t>As shipped 14 Sept: subscription_plans.py LADDER_SEED</t>
        </is>
      </c>
    </row>
    <row r="38">
      <c r="A38" s="5" t="inlineStr">
        <is>
          <t>Scale: credits per month</t>
        </is>
      </c>
      <c r="B38" s="8" t="n">
        <v>60000</v>
      </c>
      <c r="D38" s="9" t="inlineStr"/>
    </row>
    <row r="39">
      <c r="A39" s="5" t="inlineStr">
        <is>
          <t>Scale: share of plan credits actually used</t>
        </is>
      </c>
      <c r="B39" s="12" t="n">
        <v>0.8</v>
      </c>
      <c r="D39" s="9" t="inlineStr">
        <is>
          <t>Assumption; measure from the ledger after month 2</t>
        </is>
      </c>
    </row>
    <row r="40">
      <c r="A40" s="5" t="inlineStr">
        <is>
          <t>Scale: top-up and overage revenue, % of plan price</t>
        </is>
      </c>
      <c r="B40" s="12" t="n">
        <v>0.3</v>
      </c>
      <c r="D40" s="9" t="inlineStr">
        <is>
          <t>Assumption; voice plans buy top-ups, text plan does not</t>
        </is>
      </c>
    </row>
    <row r="41">
      <c r="A41" s="5" t="inlineStr">
        <is>
          <t>Scale: share of used credits spent on voice</t>
        </is>
      </c>
      <c r="B41" s="12" t="n">
        <v>0.9</v>
      </c>
      <c r="D41" s="9" t="inlineStr">
        <is>
          <t>Everyday has no voice by design</t>
        </is>
      </c>
    </row>
    <row r="42">
      <c r="A42" s="5" t="inlineStr">
        <is>
          <t>Scale: monthly churn</t>
        </is>
      </c>
      <c r="B42" s="12" t="n">
        <v>0.02</v>
      </c>
      <c r="D42" s="9" t="inlineStr">
        <is>
          <t>Assumption; Indian SMB SaaS benchmarks 3 to 8%</t>
        </is>
      </c>
    </row>
    <row r="43">
      <c r="A43" s="5" t="inlineStr">
        <is>
          <t>Scale: phone numbers included</t>
        </is>
      </c>
      <c r="B43" s="8" t="n">
        <v>4</v>
      </c>
      <c r="D43" s="9" t="inlineStr">
        <is>
          <t>Pricing ladder</t>
        </is>
      </c>
    </row>
    <row r="44">
      <c r="A44" s="7" t="inlineStr">
        <is>
          <t>Cost per credit, what a credit costs us to serve</t>
        </is>
      </c>
    </row>
    <row r="45">
      <c r="A45" s="5" t="inlineStr">
        <is>
          <t>Provider cost per Indic voice minute, ₹ (after Sarvam 30%)</t>
        </is>
      </c>
      <c r="B45" s="10" t="n">
        <v>2.78</v>
      </c>
      <c r="D45" s="9" t="inlineStr">
        <is>
          <t>Sarvam page 14 Sept: STT ₹30/hr, TTS ₹3/1k chars at 850 chars/min, 105B LLM, Plivo ₹0.60. List is ₹3.71</t>
        </is>
      </c>
    </row>
    <row r="46">
      <c r="A46" s="5" t="inlineStr">
        <is>
          <t>Credits charged per voice minute (Business)</t>
        </is>
      </c>
      <c r="B46" s="8" t="n">
        <v>13</v>
      </c>
      <c r="D46" s="9" t="inlineStr">
        <is>
          <t>Shipped 14 Sept (KAN-47 PR #273): 13 Business, 12 Growth, 11 Scale; blended at 13 for a conservative COGS</t>
        </is>
      </c>
    </row>
    <row r="47">
      <c r="A47" s="5" t="inlineStr">
        <is>
          <t>Provider cost per text credit, ₹</t>
        </is>
      </c>
      <c r="B47" s="10" t="n">
        <v>0.03</v>
      </c>
      <c r="D47" s="9" t="inlineStr">
        <is>
          <t>Gemini Flash-Lite tokens per reply plus DB; a reply sells for 1 credit = ₹0.50</t>
        </is>
      </c>
    </row>
    <row r="48">
      <c r="A48" s="5" t="inlineStr">
        <is>
          <t>Our cost per phone number, ₹/month</t>
        </is>
      </c>
      <c r="B48" s="11" t="n">
        <v>300</v>
      </c>
      <c r="D48" s="9" t="inlineStr">
        <is>
          <t>Assumption: Plivo India DID rental; customer pays ₹559 for extras</t>
        </is>
      </c>
    </row>
    <row r="49">
      <c r="A49" s="5" t="inlineStr">
        <is>
          <t>Third-party SaaS per voice account, ₹/month</t>
        </is>
      </c>
      <c r="B49" s="11" t="n">
        <v>60</v>
      </c>
      <c r="D49" s="9" t="inlineStr">
        <is>
          <t>Composio, Resend, verification share. Session estimate 14 Sept</t>
        </is>
      </c>
    </row>
    <row r="50">
      <c r="A50" s="5" t="inlineStr">
        <is>
          <t>Third-party SaaS per text account, ₹/month</t>
        </is>
      </c>
      <c r="B50" s="11" t="n">
        <v>5</v>
      </c>
      <c r="D50" s="9" t="inlineStr"/>
    </row>
    <row r="51">
      <c r="A51" s="5" t="inlineStr">
        <is>
          <t>Sarvam free credit, ₹/month</t>
        </is>
      </c>
      <c r="B51" s="11" t="n">
        <v>25000</v>
      </c>
      <c r="D51" s="9" t="inlineStr">
        <is>
          <t>Founder-stated: ₹25,000 a month for 6 months, then 30% off forever</t>
        </is>
      </c>
    </row>
    <row r="52">
      <c r="A52" s="5" t="inlineStr">
        <is>
          <t>Months the Sarvam credit runs</t>
        </is>
      </c>
      <c r="B52" s="8" t="n">
        <v>6</v>
      </c>
      <c r="D52" s="9" t="inlineStr"/>
    </row>
    <row r="53">
      <c r="A53" s="5" t="inlineStr">
        <is>
          <t>Share of voice provider cost that is Sarvam speech</t>
        </is>
      </c>
      <c r="B53" s="12" t="n">
        <v>0.77</v>
      </c>
      <c r="D53" s="9" t="inlineStr">
        <is>
          <t>STT 0.35 + TTS 1.79 of ₹2.78</t>
        </is>
      </c>
    </row>
    <row r="54">
      <c r="A54" s="7" t="inlineStr">
        <is>
          <t>Knowledge base and embeddings</t>
        </is>
      </c>
    </row>
    <row r="55">
      <c r="A55" s="5" t="inlineStr">
        <is>
          <t>Everyday: knowledge pages included</t>
        </is>
      </c>
      <c r="B55" s="8" t="n">
        <v>500</v>
      </c>
      <c r="D55" s="9" t="inlineStr">
        <is>
          <t>Proposed cap; Free plan 50 pages</t>
        </is>
      </c>
    </row>
    <row r="56">
      <c r="A56" s="5" t="inlineStr">
        <is>
          <t>Business: knowledge pages included</t>
        </is>
      </c>
      <c r="B56" s="8" t="n">
        <v>2000</v>
      </c>
      <c r="D56" s="9" t="inlineStr">
        <is>
          <t>Proposed cap; Free plan 50 pages</t>
        </is>
      </c>
    </row>
    <row r="57">
      <c r="A57" s="5" t="inlineStr">
        <is>
          <t>Growth: knowledge pages included</t>
        </is>
      </c>
      <c r="B57" s="8" t="n">
        <v>10000</v>
      </c>
      <c r="D57" s="9" t="inlineStr">
        <is>
          <t>Proposed cap; Free plan 50 pages</t>
        </is>
      </c>
    </row>
    <row r="58">
      <c r="A58" s="5" t="inlineStr">
        <is>
          <t>Scale: knowledge pages included</t>
        </is>
      </c>
      <c r="B58" s="8" t="n">
        <v>50000</v>
      </c>
      <c r="D58" s="9" t="inlineStr">
        <is>
          <t>Proposed cap; Free plan 50 pages</t>
        </is>
      </c>
    </row>
    <row r="59">
      <c r="A59" s="5" t="inlineStr">
        <is>
          <t>Average pages uploaded per account</t>
        </is>
      </c>
      <c r="B59" s="8" t="n">
        <v>150</v>
      </c>
      <c r="D59" s="9" t="inlineStr">
        <is>
          <t>Assumption</t>
        </is>
      </c>
    </row>
    <row r="60">
      <c r="A60" s="5" t="inlineStr">
        <is>
          <t>Embedding compute per page, ₹ (self-hosted bge-m3)</t>
        </is>
      </c>
      <c r="B60" s="10" t="n">
        <v>0.02</v>
      </c>
      <c r="D60" s="9" t="inlineStr">
        <is>
          <t>CPU time on the embeddings service; no vendor fee</t>
        </is>
      </c>
    </row>
    <row r="61">
      <c r="A61" s="5" t="inlineStr">
        <is>
          <t>OCR per scanned page, ₹ (Sarvam Document AI)</t>
        </is>
      </c>
      <c r="B61" s="10" t="n">
        <v>0.5</v>
      </c>
      <c r="D61" s="9" t="inlineStr">
        <is>
          <t>Sarvam page 14 Sept: digitisation ₹0.50/page</t>
        </is>
      </c>
    </row>
    <row r="62">
      <c r="A62" s="5" t="inlineStr">
        <is>
          <t>Share of uploaded pages that are scanned</t>
        </is>
      </c>
      <c r="B62" s="12" t="n">
        <v>0.3</v>
      </c>
      <c r="D62" s="9" t="inlineStr">
        <is>
          <t>Assumption</t>
        </is>
      </c>
    </row>
    <row r="63">
      <c r="A63" s="5" t="inlineStr">
        <is>
          <t>Vector storage per page, ₹/month</t>
        </is>
      </c>
      <c r="B63" s="13" t="n">
        <v>0.002</v>
      </c>
      <c r="D63" s="9" t="inlineStr">
        <is>
          <t>pgvector rows on RDS; negligible</t>
        </is>
      </c>
    </row>
    <row r="64">
      <c r="A64" s="5" t="inlineStr">
        <is>
          <t>Credits per 10 typed pages over cap</t>
        </is>
      </c>
      <c r="B64" s="8" t="n">
        <v>1</v>
      </c>
      <c r="D64" s="9" t="inlineStr">
        <is>
          <t>Pricing decision</t>
        </is>
      </c>
    </row>
    <row r="65">
      <c r="A65" s="5" t="inlineStr">
        <is>
          <t>Credits per scanned page over cap</t>
        </is>
      </c>
      <c r="B65" s="8" t="n">
        <v>1</v>
      </c>
      <c r="D65" s="9" t="inlineStr">
        <is>
          <t>Pricing decision</t>
        </is>
      </c>
    </row>
    <row r="66">
      <c r="A66" s="7" t="inlineStr">
        <is>
          <t>Acquisition: ads, organic, champions</t>
        </is>
      </c>
    </row>
    <row r="67">
      <c r="A67" s="5" t="inlineStr">
        <is>
          <t>Ads cost per free signup, ₹</t>
        </is>
      </c>
      <c r="B67" s="11" t="n">
        <v>150</v>
      </c>
      <c r="D67" s="9" t="inlineStr">
        <is>
          <t>Assumption: Meta/Google India SMB; measure in month 1</t>
        </is>
      </c>
    </row>
    <row r="68">
      <c r="A68" s="5" t="inlineStr">
        <is>
          <t>Free signup to paid conversion</t>
        </is>
      </c>
      <c r="B68" s="12" t="n">
        <v>0.08</v>
      </c>
      <c r="D68" s="9" t="inlineStr">
        <is>
          <t>India self-serve baseline 8%, top quartile 28% (richautomate.in, 2026)</t>
        </is>
      </c>
    </row>
    <row r="69">
      <c r="A69" s="5" t="inlineStr">
        <is>
          <t>Paid mix: Everyday</t>
        </is>
      </c>
      <c r="B69" s="12" t="n">
        <v>0.5</v>
      </c>
      <c r="D69" s="9" t="inlineStr">
        <is>
          <t>Assumption</t>
        </is>
      </c>
    </row>
    <row r="70">
      <c r="A70" s="5" t="inlineStr">
        <is>
          <t>Paid mix: Business</t>
        </is>
      </c>
      <c r="B70" s="12" t="n">
        <v>0.35</v>
      </c>
      <c r="D70" s="9" t="inlineStr"/>
    </row>
    <row r="71">
      <c r="A71" s="5" t="inlineStr">
        <is>
          <t>Paid mix: Growth</t>
        </is>
      </c>
      <c r="B71" s="12" t="n">
        <v>0.12</v>
      </c>
      <c r="D71" s="9" t="inlineStr"/>
    </row>
    <row r="72">
      <c r="A72" s="5" t="inlineStr">
        <is>
          <t>Paid mix: Scale</t>
        </is>
      </c>
      <c r="B72" s="12" t="n">
        <v>0.03</v>
      </c>
      <c r="D72" s="9" t="inlineStr"/>
    </row>
    <row r="73">
      <c r="A73" s="5" t="inlineStr">
        <is>
          <t>Ads budget months 1 to 6, ₹/month</t>
        </is>
      </c>
      <c r="B73" s="11" t="n">
        <v>25000</v>
      </c>
      <c r="D73" s="9" t="inlineStr">
        <is>
          <t>Bootstrapped plan, 14 Sept: step up only after CAC and conversion are measured</t>
        </is>
      </c>
    </row>
    <row r="74">
      <c r="A74" s="5" t="inlineStr">
        <is>
          <t>Ads budget months 7 to 12, ₹/month</t>
        </is>
      </c>
      <c r="B74" s="11" t="n">
        <v>100000</v>
      </c>
      <c r="D74" s="9" t="inlineStr">
        <is>
          <t>Funded from revenue</t>
        </is>
      </c>
    </row>
    <row r="75">
      <c r="A75" s="5" t="inlineStr">
        <is>
          <t>Ads budget months 13 to 24, ₹/month</t>
        </is>
      </c>
      <c r="B75" s="11" t="n">
        <v>200000</v>
      </c>
      <c r="D75" s="9" t="inlineStr"/>
    </row>
    <row r="76">
      <c r="A76" s="5" t="inlineStr">
        <is>
          <t>Organic free signups in month 1</t>
        </is>
      </c>
      <c r="B76" s="8" t="n">
        <v>20</v>
      </c>
      <c r="D76" s="9" t="inlineStr">
        <is>
          <t>SEO pages live; jobs and integrations pages shipped 14 Sept</t>
        </is>
      </c>
    </row>
    <row r="77">
      <c r="A77" s="5" t="inlineStr">
        <is>
          <t>Organic signups added per month</t>
        </is>
      </c>
      <c r="B77" s="8" t="n">
        <v>15</v>
      </c>
      <c r="D77" s="9" t="inlineStr">
        <is>
          <t>Assumption: compounding programmatic pages</t>
        </is>
      </c>
    </row>
    <row r="78">
      <c r="A78" s="5" t="inlineStr">
        <is>
          <t>Champions start in month</t>
        </is>
      </c>
      <c r="B78" s="8" t="n">
        <v>4</v>
      </c>
      <c r="D78" s="9" t="inlineStr">
        <is>
          <t>industry-champions.md</t>
        </is>
      </c>
    </row>
    <row r="79">
      <c r="A79" s="5" t="inlineStr">
        <is>
          <t>Number of champions</t>
        </is>
      </c>
      <c r="B79" s="8" t="n">
        <v>2</v>
      </c>
      <c r="D79" s="9" t="inlineStr"/>
    </row>
    <row r="80">
      <c r="A80" s="5" t="inlineStr">
        <is>
          <t>Business accounts closed per champion per month</t>
        </is>
      </c>
      <c r="B80" s="8" t="n">
        <v>3</v>
      </c>
      <c r="D80" s="9" t="inlineStr">
        <is>
          <t>Target from industry-champions.md</t>
        </is>
      </c>
    </row>
    <row r="81">
      <c r="A81" s="5" t="inlineStr">
        <is>
          <t>Champion retainer, ₹/month each</t>
        </is>
      </c>
      <c r="B81" s="11" t="n">
        <v>0</v>
      </c>
      <c r="D81" s="9" t="inlineStr">
        <is>
          <t>Bootstrapped: commission only; ₹15k to ₹25k once revenue supports it</t>
        </is>
      </c>
    </row>
    <row r="82">
      <c r="A82" s="5" t="inlineStr">
        <is>
          <t>Champion commission, % of their accounts' revenue</t>
        </is>
      </c>
      <c r="B82" s="12" t="n">
        <v>0.25</v>
      </c>
      <c r="D82" s="9" t="inlineStr">
        <is>
          <t>Paid through partner statements</t>
        </is>
      </c>
    </row>
    <row r="83">
      <c r="A83" s="7" t="inlineStr">
        <is>
          <t>Infrastructure, steps with monthly call minutes</t>
        </is>
      </c>
    </row>
    <row r="84">
      <c r="A84" s="5" t="inlineStr">
        <is>
          <t>Stage 0 infra, ₹/month (up to 50k minutes)</t>
        </is>
      </c>
      <c r="B84" s="11" t="n">
        <v>35000</v>
      </c>
      <c r="D84" s="9" t="inlineStr">
        <is>
          <t>m7i.xlarge, RDS, ElastiCache, S3; session estimate</t>
        </is>
      </c>
    </row>
    <row r="85">
      <c r="A85" s="5" t="inlineStr">
        <is>
          <t>Stage 1 infra, ₹/month (up to 300k minutes)</t>
        </is>
      </c>
      <c r="B85" s="11" t="n">
        <v>100000</v>
      </c>
      <c r="D85" s="9" t="inlineStr">
        <is>
          <t>Control + 2 media nodes, ALB, Multi-AZ</t>
        </is>
      </c>
    </row>
    <row r="86">
      <c r="A86" s="5" t="inlineStr">
        <is>
          <t>Stage 2 infra, ₹/month (up to 1M minutes)</t>
        </is>
      </c>
      <c r="B86" s="11" t="n">
        <v>350000</v>
      </c>
      <c r="D86" s="9" t="inlineStr">
        <is>
          <t>Autoscaling media, read replica, Redis cluster</t>
        </is>
      </c>
    </row>
    <row r="87">
      <c r="A87" s="5" t="inlineStr">
        <is>
          <t>Above 1M: extra ₹/month per additional 1M minutes</t>
        </is>
      </c>
      <c r="B87" s="11" t="n">
        <v>250000</v>
      </c>
      <c r="D87" s="9" t="inlineStr">
        <is>
          <t>Linear extension</t>
        </is>
      </c>
    </row>
    <row r="88">
      <c r="A88" s="5" t="inlineStr">
        <is>
          <t>Stage 1 threshold, minutes/month</t>
        </is>
      </c>
      <c r="B88" s="8" t="n">
        <v>50000</v>
      </c>
      <c r="D88" s="9" t="inlineStr"/>
    </row>
    <row r="89">
      <c r="A89" s="5" t="inlineStr">
        <is>
          <t>Stage 2 threshold, minutes/month</t>
        </is>
      </c>
      <c r="B89" s="8" t="n">
        <v>300000</v>
      </c>
      <c r="D89" s="9" t="inlineStr"/>
    </row>
    <row r="90">
      <c r="A90" s="5" t="inlineStr">
        <is>
          <t>Stage 3 threshold, minutes/month</t>
        </is>
      </c>
      <c r="B90" s="8" t="n">
        <v>1000000</v>
      </c>
      <c r="D90" s="9" t="inlineStr"/>
    </row>
    <row r="91">
      <c r="A91" s="5" t="inlineStr">
        <is>
          <t>Fixed SaaS at stage 0, ₹/month</t>
        </is>
      </c>
      <c r="B91" s="11" t="n">
        <v>6000</v>
      </c>
      <c r="D91" s="9" t="inlineStr">
        <is>
          <t>Composio, Resend, Cloudflare, Langfuse base plans</t>
        </is>
      </c>
    </row>
    <row r="92">
      <c r="A92" s="5" t="inlineStr">
        <is>
          <t>Fixed SaaS at stage 1+, ₹/month</t>
        </is>
      </c>
      <c r="B92" s="11" t="n">
        <v>25000</v>
      </c>
      <c r="D92" s="9" t="inlineStr"/>
    </row>
    <row r="93">
      <c r="A93" s="7" t="inlineStr">
        <is>
          <t>Team</t>
        </is>
      </c>
    </row>
    <row r="94">
      <c r="A94" s="5" t="inlineStr">
        <is>
          <t>Payroll months 1 to 6, ₹/month</t>
        </is>
      </c>
      <c r="B94" s="11" t="n">
        <v>200000</v>
      </c>
      <c r="D94" s="9" t="inlineStr">
        <is>
          <t>Bootstrapped: founder + 1 engineer</t>
        </is>
      </c>
    </row>
    <row r="95">
      <c r="A95" s="5" t="inlineStr">
        <is>
          <t>Payroll months 7 to 12, ₹/month</t>
        </is>
      </c>
      <c r="B95" s="11" t="n">
        <v>300000</v>
      </c>
      <c r="D95" s="9" t="inlineStr">
        <is>
          <t>Second engineer once EBITDA is positive</t>
        </is>
      </c>
    </row>
    <row r="96">
      <c r="A96" s="5" t="inlineStr">
        <is>
          <t>Payroll months 13 to 24, ₹/month</t>
        </is>
      </c>
      <c r="B96" s="11" t="n">
        <v>500000</v>
      </c>
      <c r="D96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Unit economics per plan, per customer per month</t>
        </is>
      </c>
    </row>
    <row r="2">
      <c r="A2" s="2" t="inlineStr">
        <is>
          <t>All formulas from Assumptions. Gross margin is after provider cost, numbers, third-party SaaS and payment fees.</t>
        </is>
      </c>
    </row>
    <row r="4">
      <c r="A4" s="14" t="inlineStr">
        <is>
          <t>Line</t>
        </is>
      </c>
      <c r="B4" s="14" t="inlineStr">
        <is>
          <t>Everyday</t>
        </is>
      </c>
      <c r="C4" s="14" t="inlineStr">
        <is>
          <t>Business</t>
        </is>
      </c>
      <c r="D4" s="14" t="inlineStr">
        <is>
          <t>Growth</t>
        </is>
      </c>
      <c r="E4" s="14" t="inlineStr">
        <is>
          <t>Scale</t>
        </is>
      </c>
    </row>
    <row r="5">
      <c r="A5" s="5" t="inlineStr">
        <is>
          <t>Plan price ₹</t>
        </is>
      </c>
      <c r="B5" s="15">
        <f>Assumptions!$B$16</f>
        <v/>
      </c>
      <c r="C5" s="15">
        <f>Assumptions!$B$23</f>
        <v/>
      </c>
      <c r="D5" s="15">
        <f>Assumptions!$B$30</f>
        <v/>
      </c>
      <c r="E5" s="15">
        <f>Assumptions!$B$37</f>
        <v/>
      </c>
    </row>
    <row r="6">
      <c r="A6" s="5" t="inlineStr">
        <is>
          <t>Top-up and overage revenue ₹</t>
        </is>
      </c>
      <c r="B6" s="16">
        <f>Assumptions!$B$16*Assumptions!$B$19</f>
        <v/>
      </c>
      <c r="C6" s="16">
        <f>Assumptions!$B$23*Assumptions!$B$26</f>
        <v/>
      </c>
      <c r="D6" s="16">
        <f>Assumptions!$B$30*Assumptions!$B$33</f>
        <v/>
      </c>
      <c r="E6" s="16">
        <f>Assumptions!$B$37*Assumptions!$B$40</f>
        <v/>
      </c>
    </row>
    <row r="7">
      <c r="A7" s="5" t="inlineStr">
        <is>
          <t>Revenue per customer ₹</t>
        </is>
      </c>
      <c r="B7" s="16">
        <f>B5+B6</f>
        <v/>
      </c>
      <c r="C7" s="16">
        <f>C5+C6</f>
        <v/>
      </c>
      <c r="D7" s="16">
        <f>D5+D6</f>
        <v/>
      </c>
      <c r="E7" s="16">
        <f>E5+E6</f>
        <v/>
      </c>
    </row>
    <row r="8">
      <c r="A8" s="5" t="inlineStr">
        <is>
          <t>Credits used</t>
        </is>
      </c>
      <c r="B8" s="17">
        <f>Assumptions!$B$17*Assumptions!$B$18*(1+Assumptions!$B$19)</f>
        <v/>
      </c>
      <c r="C8" s="17">
        <f>Assumptions!$B$24*Assumptions!$B$25*(1+Assumptions!$B$26)</f>
        <v/>
      </c>
      <c r="D8" s="17">
        <f>Assumptions!$B$31*Assumptions!$B$32*(1+Assumptions!$B$33)</f>
        <v/>
      </c>
      <c r="E8" s="17">
        <f>Assumptions!$B$38*Assumptions!$B$39*(1+Assumptions!$B$40)</f>
        <v/>
      </c>
    </row>
    <row r="9">
      <c r="A9" s="5" t="inlineStr">
        <is>
          <t>Voice credits used</t>
        </is>
      </c>
      <c r="B9" s="17">
        <f>B8*Assumptions!$B$20</f>
        <v/>
      </c>
      <c r="C9" s="17">
        <f>C8*Assumptions!$B$27</f>
        <v/>
      </c>
      <c r="D9" s="17">
        <f>D8*Assumptions!$B$34</f>
        <v/>
      </c>
      <c r="E9" s="17">
        <f>E8*Assumptions!$B$41</f>
        <v/>
      </c>
    </row>
    <row r="10">
      <c r="A10" s="5" t="inlineStr">
        <is>
          <t>Text credits used</t>
        </is>
      </c>
      <c r="B10" s="17">
        <f>B8-B9</f>
        <v/>
      </c>
      <c r="C10" s="17">
        <f>C8-C9</f>
        <v/>
      </c>
      <c r="D10" s="17">
        <f>D8-D9</f>
        <v/>
      </c>
      <c r="E10" s="17">
        <f>E8-E9</f>
        <v/>
      </c>
    </row>
    <row r="11">
      <c r="A11" s="5" t="inlineStr">
        <is>
          <t>Voice minutes</t>
        </is>
      </c>
      <c r="B11" s="17">
        <f>B9/Assumptions!$B$46</f>
        <v/>
      </c>
      <c r="C11" s="17">
        <f>C9/Assumptions!$B$46</f>
        <v/>
      </c>
      <c r="D11" s="17">
        <f>D9/Assumptions!$B$46</f>
        <v/>
      </c>
      <c r="E11" s="17">
        <f>E9/Assumptions!$B$46</f>
        <v/>
      </c>
    </row>
    <row r="12">
      <c r="A12" s="5" t="inlineStr">
        <is>
          <t>Voice provider cost ₹</t>
        </is>
      </c>
      <c r="B12" s="16">
        <f>B11*Assumptions!$B$45</f>
        <v/>
      </c>
      <c r="C12" s="16">
        <f>C11*Assumptions!$B$45</f>
        <v/>
      </c>
      <c r="D12" s="16">
        <f>D11*Assumptions!$B$45</f>
        <v/>
      </c>
      <c r="E12" s="16">
        <f>E11*Assumptions!$B$45</f>
        <v/>
      </c>
    </row>
    <row r="13">
      <c r="A13" s="5" t="inlineStr">
        <is>
          <t>Text provider cost ₹</t>
        </is>
      </c>
      <c r="B13" s="16">
        <f>B10*Assumptions!$B$47</f>
        <v/>
      </c>
      <c r="C13" s="16">
        <f>C10*Assumptions!$B$47</f>
        <v/>
      </c>
      <c r="D13" s="16">
        <f>D10*Assumptions!$B$47</f>
        <v/>
      </c>
      <c r="E13" s="16">
        <f>E10*Assumptions!$B$47</f>
        <v/>
      </c>
    </row>
    <row r="14">
      <c r="A14" s="5" t="inlineStr">
        <is>
          <t>Phone numbers cost ₹</t>
        </is>
      </c>
      <c r="B14" s="16">
        <f>Assumptions!$B$22*Assumptions!$B$48</f>
        <v/>
      </c>
      <c r="C14" s="16">
        <f>Assumptions!$B$29*Assumptions!$B$48</f>
        <v/>
      </c>
      <c r="D14" s="16">
        <f>Assumptions!$B$36*Assumptions!$B$48</f>
        <v/>
      </c>
      <c r="E14" s="16">
        <f>Assumptions!$B$43*Assumptions!$B$48</f>
        <v/>
      </c>
    </row>
    <row r="15">
      <c r="A15" s="5" t="inlineStr">
        <is>
          <t>Knowledge base cost ₹</t>
        </is>
      </c>
      <c r="B15" s="16">
        <f>Assumptions!$B$59*(Assumptions!$B$60+Assumptions!$B$63+Assumptions!$B$62*Assumptions!$B$61)/12</f>
        <v/>
      </c>
      <c r="C15" s="16">
        <f>Assumptions!$B$59*(Assumptions!$B$60+Assumptions!$B$63+Assumptions!$B$62*Assumptions!$B$61)/12</f>
        <v/>
      </c>
      <c r="D15" s="16">
        <f>Assumptions!$B$59*(Assumptions!$B$60+Assumptions!$B$63+Assumptions!$B$62*Assumptions!$B$61)/12</f>
        <v/>
      </c>
      <c r="E15" s="16">
        <f>Assumptions!$B$59*(Assumptions!$B$60+Assumptions!$B$63+Assumptions!$B$62*Assumptions!$B$61)/12</f>
        <v/>
      </c>
    </row>
    <row r="16">
      <c r="A16" s="5" t="inlineStr">
        <is>
          <t>Third-party SaaS ₹</t>
        </is>
      </c>
      <c r="B16" s="15">
        <f>Assumptions!$B$50</f>
        <v/>
      </c>
      <c r="C16" s="15">
        <f>Assumptions!$B$49</f>
        <v/>
      </c>
      <c r="D16" s="15">
        <f>Assumptions!$B$49</f>
        <v/>
      </c>
      <c r="E16" s="15">
        <f>Assumptions!$B$49</f>
        <v/>
      </c>
    </row>
    <row r="17">
      <c r="A17" s="5" t="inlineStr">
        <is>
          <t>Payment fee ₹</t>
        </is>
      </c>
      <c r="B17" s="16">
        <f>B7*Assumptions!$B$13</f>
        <v/>
      </c>
      <c r="C17" s="16">
        <f>C7*Assumptions!$B$13</f>
        <v/>
      </c>
      <c r="D17" s="16">
        <f>D7*Assumptions!$B$13</f>
        <v/>
      </c>
      <c r="E17" s="16">
        <f>E7*Assumptions!$B$13</f>
        <v/>
      </c>
    </row>
    <row r="18">
      <c r="A18" s="5" t="inlineStr">
        <is>
          <t>Total cost to serve ₹</t>
        </is>
      </c>
      <c r="B18" s="16">
        <f>SUM(B12:B17)</f>
        <v/>
      </c>
      <c r="C18" s="16">
        <f>SUM(C12:C17)</f>
        <v/>
      </c>
      <c r="D18" s="16">
        <f>SUM(D12:D17)</f>
        <v/>
      </c>
      <c r="E18" s="16">
        <f>SUM(E12:E17)</f>
        <v/>
      </c>
    </row>
    <row r="19">
      <c r="A19" s="5" t="inlineStr">
        <is>
          <t>Gross profit ₹</t>
        </is>
      </c>
      <c r="B19" s="16">
        <f>B7-B18</f>
        <v/>
      </c>
      <c r="C19" s="16">
        <f>C7-C18</f>
        <v/>
      </c>
      <c r="D19" s="16">
        <f>D7-D18</f>
        <v/>
      </c>
      <c r="E19" s="16">
        <f>E7-E18</f>
        <v/>
      </c>
    </row>
    <row r="20">
      <c r="A20" s="5" t="inlineStr">
        <is>
          <t>Gross margin %</t>
        </is>
      </c>
      <c r="B20" s="18">
        <f>IF(B7=0,0,B19/B7)</f>
        <v/>
      </c>
      <c r="C20" s="18">
        <f>IF(C7=0,0,C19/C7)</f>
        <v/>
      </c>
      <c r="D20" s="18">
        <f>IF(D7=0,0,D19/D7)</f>
        <v/>
      </c>
      <c r="E20" s="18">
        <f>IF(E7=0,0,E19/E7)</f>
        <v/>
      </c>
    </row>
    <row r="21">
      <c r="A21" s="5" t="inlineStr">
        <is>
          <t>Monthly churn</t>
        </is>
      </c>
      <c r="B21" s="19">
        <f>Assumptions!$B$21</f>
        <v/>
      </c>
      <c r="C21" s="19">
        <f>Assumptions!$B$28</f>
        <v/>
      </c>
      <c r="D21" s="19">
        <f>Assumptions!$B$35</f>
        <v/>
      </c>
      <c r="E21" s="19">
        <f>Assumptions!$B$42</f>
        <v/>
      </c>
    </row>
    <row r="22">
      <c r="A22" s="5" t="inlineStr">
        <is>
          <t>Expected lifetime, months</t>
        </is>
      </c>
      <c r="B22" s="20">
        <f>IF(B21=0,0,1/B21)</f>
        <v/>
      </c>
      <c r="C22" s="20">
        <f>IF(C21=0,0,1/C21)</f>
        <v/>
      </c>
      <c r="D22" s="20">
        <f>IF(D21=0,0,1/D21)</f>
        <v/>
      </c>
      <c r="E22" s="20">
        <f>IF(E21=0,0,1/E21)</f>
        <v/>
      </c>
    </row>
    <row r="23">
      <c r="A23" s="5" t="inlineStr">
        <is>
          <t>Lifetime gross profit ₹</t>
        </is>
      </c>
      <c r="B23" s="16">
        <f>B19*B22</f>
        <v/>
      </c>
      <c r="C23" s="16">
        <f>C19*C22</f>
        <v/>
      </c>
      <c r="D23" s="16">
        <f>D19*D22</f>
        <v/>
      </c>
      <c r="E23" s="16">
        <f>E19*E22</f>
        <v/>
      </c>
    </row>
    <row r="24">
      <c r="A24" s="5" t="inlineStr">
        <is>
          <t>Knowledge pages included</t>
        </is>
      </c>
      <c r="B24" s="21">
        <f>Assumptions!$B$55</f>
        <v/>
      </c>
      <c r="C24" s="21">
        <f>Assumptions!$B$56</f>
        <v/>
      </c>
      <c r="D24" s="21">
        <f>Assumptions!$B$57</f>
        <v/>
      </c>
      <c r="E24" s="21">
        <f>Assumptions!$B$58</f>
        <v/>
      </c>
    </row>
    <row r="27">
      <c r="A27" s="2" t="inlineStr">
        <is>
          <t>Row references: 5 price, 6 top-up, 7 revenue, 8 credits used, 9 voice credits, 10 text credits, 11 minutes, 12 voice cost, 13 text cost, 14 numbers, 15 KB, 16 SaaS, 17 fee, 18 total cost, 19 gross profit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Monthly model, 24 months</t>
        </is>
      </c>
    </row>
    <row r="2">
      <c r="A2" s="2" t="inlineStr">
        <is>
          <t>Customers by plan, revenue, cost to serve, infrastructure that steps with call minutes, acquisition, payroll, EBITDA, cash and breakeven.</t>
        </is>
      </c>
    </row>
    <row r="4">
      <c r="A4" s="14" t="inlineStr">
        <is>
          <t>Line</t>
        </is>
      </c>
      <c r="B4" s="14" t="inlineStr">
        <is>
          <t>M1</t>
        </is>
      </c>
      <c r="C4" s="14" t="inlineStr">
        <is>
          <t>M2</t>
        </is>
      </c>
      <c r="D4" s="14" t="inlineStr">
        <is>
          <t>M3</t>
        </is>
      </c>
      <c r="E4" s="14" t="inlineStr">
        <is>
          <t>M4</t>
        </is>
      </c>
      <c r="F4" s="14" t="inlineStr">
        <is>
          <t>M5</t>
        </is>
      </c>
      <c r="G4" s="14" t="inlineStr">
        <is>
          <t>M6</t>
        </is>
      </c>
      <c r="H4" s="14" t="inlineStr">
        <is>
          <t>M7</t>
        </is>
      </c>
      <c r="I4" s="14" t="inlineStr">
        <is>
          <t>M8</t>
        </is>
      </c>
      <c r="J4" s="14" t="inlineStr">
        <is>
          <t>M9</t>
        </is>
      </c>
      <c r="K4" s="14" t="inlineStr">
        <is>
          <t>M10</t>
        </is>
      </c>
      <c r="L4" s="14" t="inlineStr">
        <is>
          <t>M11</t>
        </is>
      </c>
      <c r="M4" s="14" t="inlineStr">
        <is>
          <t>M12</t>
        </is>
      </c>
      <c r="N4" s="14" t="inlineStr">
        <is>
          <t>M13</t>
        </is>
      </c>
      <c r="O4" s="14" t="inlineStr">
        <is>
          <t>M14</t>
        </is>
      </c>
      <c r="P4" s="14" t="inlineStr">
        <is>
          <t>M15</t>
        </is>
      </c>
      <c r="Q4" s="14" t="inlineStr">
        <is>
          <t>M16</t>
        </is>
      </c>
      <c r="R4" s="14" t="inlineStr">
        <is>
          <t>M17</t>
        </is>
      </c>
      <c r="S4" s="14" t="inlineStr">
        <is>
          <t>M18</t>
        </is>
      </c>
      <c r="T4" s="14" t="inlineStr">
        <is>
          <t>M19</t>
        </is>
      </c>
      <c r="U4" s="14" t="inlineStr">
        <is>
          <t>M20</t>
        </is>
      </c>
      <c r="V4" s="14" t="inlineStr">
        <is>
          <t>M21</t>
        </is>
      </c>
      <c r="W4" s="14" t="inlineStr">
        <is>
          <t>M22</t>
        </is>
      </c>
      <c r="X4" s="14" t="inlineStr">
        <is>
          <t>M23</t>
        </is>
      </c>
      <c r="Y4" s="14" t="inlineStr">
        <is>
          <t>M24</t>
        </is>
      </c>
    </row>
    <row r="5">
      <c r="A5" s="5" t="inlineStr">
        <is>
          <t>Month number</t>
        </is>
      </c>
      <c r="B5" s="17" t="n">
        <v>1</v>
      </c>
      <c r="C5" s="17" t="n">
        <v>2</v>
      </c>
      <c r="D5" s="17" t="n">
        <v>3</v>
      </c>
      <c r="E5" s="17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7" t="n">
        <v>9</v>
      </c>
      <c r="K5" s="17" t="n">
        <v>10</v>
      </c>
      <c r="L5" s="17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7" t="n">
        <v>16</v>
      </c>
      <c r="R5" s="17" t="n">
        <v>17</v>
      </c>
      <c r="S5" s="17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7" t="n">
        <v>23</v>
      </c>
      <c r="Y5" s="17" t="n">
        <v>24</v>
      </c>
    </row>
    <row r="6">
      <c r="A6" s="5" t="inlineStr">
        <is>
          <t>Ads budget ₹</t>
        </is>
      </c>
      <c r="B6" s="16">
        <f>IF(B5&lt;=6,Assumptions!$B$73,IF(B5&lt;=12,Assumptions!$B$74,Assumptions!$B$75))</f>
        <v/>
      </c>
      <c r="C6" s="16">
        <f>IF(C5&lt;=6,Assumptions!$B$73,IF(C5&lt;=12,Assumptions!$B$74,Assumptions!$B$75))</f>
        <v/>
      </c>
      <c r="D6" s="16">
        <f>IF(D5&lt;=6,Assumptions!$B$73,IF(D5&lt;=12,Assumptions!$B$74,Assumptions!$B$75))</f>
        <v/>
      </c>
      <c r="E6" s="16">
        <f>IF(E5&lt;=6,Assumptions!$B$73,IF(E5&lt;=12,Assumptions!$B$74,Assumptions!$B$75))</f>
        <v/>
      </c>
      <c r="F6" s="16">
        <f>IF(F5&lt;=6,Assumptions!$B$73,IF(F5&lt;=12,Assumptions!$B$74,Assumptions!$B$75))</f>
        <v/>
      </c>
      <c r="G6" s="16">
        <f>IF(G5&lt;=6,Assumptions!$B$73,IF(G5&lt;=12,Assumptions!$B$74,Assumptions!$B$75))</f>
        <v/>
      </c>
      <c r="H6" s="16">
        <f>IF(H5&lt;=6,Assumptions!$B$73,IF(H5&lt;=12,Assumptions!$B$74,Assumptions!$B$75))</f>
        <v/>
      </c>
      <c r="I6" s="16">
        <f>IF(I5&lt;=6,Assumptions!$B$73,IF(I5&lt;=12,Assumptions!$B$74,Assumptions!$B$75))</f>
        <v/>
      </c>
      <c r="J6" s="16">
        <f>IF(J5&lt;=6,Assumptions!$B$73,IF(J5&lt;=12,Assumptions!$B$74,Assumptions!$B$75))</f>
        <v/>
      </c>
      <c r="K6" s="16">
        <f>IF(K5&lt;=6,Assumptions!$B$73,IF(K5&lt;=12,Assumptions!$B$74,Assumptions!$B$75))</f>
        <v/>
      </c>
      <c r="L6" s="16">
        <f>IF(L5&lt;=6,Assumptions!$B$73,IF(L5&lt;=12,Assumptions!$B$74,Assumptions!$B$75))</f>
        <v/>
      </c>
      <c r="M6" s="16">
        <f>IF(M5&lt;=6,Assumptions!$B$73,IF(M5&lt;=12,Assumptions!$B$74,Assumptions!$B$75))</f>
        <v/>
      </c>
      <c r="N6" s="16">
        <f>IF(N5&lt;=6,Assumptions!$B$73,IF(N5&lt;=12,Assumptions!$B$74,Assumptions!$B$75))</f>
        <v/>
      </c>
      <c r="O6" s="16">
        <f>IF(O5&lt;=6,Assumptions!$B$73,IF(O5&lt;=12,Assumptions!$B$74,Assumptions!$B$75))</f>
        <v/>
      </c>
      <c r="P6" s="16">
        <f>IF(P5&lt;=6,Assumptions!$B$73,IF(P5&lt;=12,Assumptions!$B$74,Assumptions!$B$75))</f>
        <v/>
      </c>
      <c r="Q6" s="16">
        <f>IF(Q5&lt;=6,Assumptions!$B$73,IF(Q5&lt;=12,Assumptions!$B$74,Assumptions!$B$75))</f>
        <v/>
      </c>
      <c r="R6" s="16">
        <f>IF(R5&lt;=6,Assumptions!$B$73,IF(R5&lt;=12,Assumptions!$B$74,Assumptions!$B$75))</f>
        <v/>
      </c>
      <c r="S6" s="16">
        <f>IF(S5&lt;=6,Assumptions!$B$73,IF(S5&lt;=12,Assumptions!$B$74,Assumptions!$B$75))</f>
        <v/>
      </c>
      <c r="T6" s="16">
        <f>IF(T5&lt;=6,Assumptions!$B$73,IF(T5&lt;=12,Assumptions!$B$74,Assumptions!$B$75))</f>
        <v/>
      </c>
      <c r="U6" s="16">
        <f>IF(U5&lt;=6,Assumptions!$B$73,IF(U5&lt;=12,Assumptions!$B$74,Assumptions!$B$75))</f>
        <v/>
      </c>
      <c r="V6" s="16">
        <f>IF(V5&lt;=6,Assumptions!$B$73,IF(V5&lt;=12,Assumptions!$B$74,Assumptions!$B$75))</f>
        <v/>
      </c>
      <c r="W6" s="16">
        <f>IF(W5&lt;=6,Assumptions!$B$73,IF(W5&lt;=12,Assumptions!$B$74,Assumptions!$B$75))</f>
        <v/>
      </c>
      <c r="X6" s="16">
        <f>IF(X5&lt;=6,Assumptions!$B$73,IF(X5&lt;=12,Assumptions!$B$74,Assumptions!$B$75))</f>
        <v/>
      </c>
      <c r="Y6" s="16">
        <f>IF(Y5&lt;=6,Assumptions!$B$73,IF(Y5&lt;=12,Assumptions!$B$74,Assumptions!$B$75))</f>
        <v/>
      </c>
    </row>
    <row r="7">
      <c r="A7" s="5" t="inlineStr">
        <is>
          <t>Free signups from ads</t>
        </is>
      </c>
      <c r="B7" s="17">
        <f>IF(Assumptions!$B$67=0,0,B6/Assumptions!$B$67)</f>
        <v/>
      </c>
      <c r="C7" s="17">
        <f>IF(Assumptions!$B$67=0,0,C6/Assumptions!$B$67)</f>
        <v/>
      </c>
      <c r="D7" s="17">
        <f>IF(Assumptions!$B$67=0,0,D6/Assumptions!$B$67)</f>
        <v/>
      </c>
      <c r="E7" s="17">
        <f>IF(Assumptions!$B$67=0,0,E6/Assumptions!$B$67)</f>
        <v/>
      </c>
      <c r="F7" s="17">
        <f>IF(Assumptions!$B$67=0,0,F6/Assumptions!$B$67)</f>
        <v/>
      </c>
      <c r="G7" s="17">
        <f>IF(Assumptions!$B$67=0,0,G6/Assumptions!$B$67)</f>
        <v/>
      </c>
      <c r="H7" s="17">
        <f>IF(Assumptions!$B$67=0,0,H6/Assumptions!$B$67)</f>
        <v/>
      </c>
      <c r="I7" s="17">
        <f>IF(Assumptions!$B$67=0,0,I6/Assumptions!$B$67)</f>
        <v/>
      </c>
      <c r="J7" s="17">
        <f>IF(Assumptions!$B$67=0,0,J6/Assumptions!$B$67)</f>
        <v/>
      </c>
      <c r="K7" s="17">
        <f>IF(Assumptions!$B$67=0,0,K6/Assumptions!$B$67)</f>
        <v/>
      </c>
      <c r="L7" s="17">
        <f>IF(Assumptions!$B$67=0,0,L6/Assumptions!$B$67)</f>
        <v/>
      </c>
      <c r="M7" s="17">
        <f>IF(Assumptions!$B$67=0,0,M6/Assumptions!$B$67)</f>
        <v/>
      </c>
      <c r="N7" s="17">
        <f>IF(Assumptions!$B$67=0,0,N6/Assumptions!$B$67)</f>
        <v/>
      </c>
      <c r="O7" s="17">
        <f>IF(Assumptions!$B$67=0,0,O6/Assumptions!$B$67)</f>
        <v/>
      </c>
      <c r="P7" s="17">
        <f>IF(Assumptions!$B$67=0,0,P6/Assumptions!$B$67)</f>
        <v/>
      </c>
      <c r="Q7" s="17">
        <f>IF(Assumptions!$B$67=0,0,Q6/Assumptions!$B$67)</f>
        <v/>
      </c>
      <c r="R7" s="17">
        <f>IF(Assumptions!$B$67=0,0,R6/Assumptions!$B$67)</f>
        <v/>
      </c>
      <c r="S7" s="17">
        <f>IF(Assumptions!$B$67=0,0,S6/Assumptions!$B$67)</f>
        <v/>
      </c>
      <c r="T7" s="17">
        <f>IF(Assumptions!$B$67=0,0,T6/Assumptions!$B$67)</f>
        <v/>
      </c>
      <c r="U7" s="17">
        <f>IF(Assumptions!$B$67=0,0,U6/Assumptions!$B$67)</f>
        <v/>
      </c>
      <c r="V7" s="17">
        <f>IF(Assumptions!$B$67=0,0,V6/Assumptions!$B$67)</f>
        <v/>
      </c>
      <c r="W7" s="17">
        <f>IF(Assumptions!$B$67=0,0,W6/Assumptions!$B$67)</f>
        <v/>
      </c>
      <c r="X7" s="17">
        <f>IF(Assumptions!$B$67=0,0,X6/Assumptions!$B$67)</f>
        <v/>
      </c>
      <c r="Y7" s="17">
        <f>IF(Assumptions!$B$67=0,0,Y6/Assumptions!$B$67)</f>
        <v/>
      </c>
    </row>
    <row r="8">
      <c r="A8" s="5" t="inlineStr">
        <is>
          <t>Organic free signups</t>
        </is>
      </c>
      <c r="B8" s="17">
        <f>Assumptions!$B$76+Assumptions!$B$77*(B5-1)</f>
        <v/>
      </c>
      <c r="C8" s="17">
        <f>Assumptions!$B$76+Assumptions!$B$77*(C5-1)</f>
        <v/>
      </c>
      <c r="D8" s="17">
        <f>Assumptions!$B$76+Assumptions!$B$77*(D5-1)</f>
        <v/>
      </c>
      <c r="E8" s="17">
        <f>Assumptions!$B$76+Assumptions!$B$77*(E5-1)</f>
        <v/>
      </c>
      <c r="F8" s="17">
        <f>Assumptions!$B$76+Assumptions!$B$77*(F5-1)</f>
        <v/>
      </c>
      <c r="G8" s="17">
        <f>Assumptions!$B$76+Assumptions!$B$77*(G5-1)</f>
        <v/>
      </c>
      <c r="H8" s="17">
        <f>Assumptions!$B$76+Assumptions!$B$77*(H5-1)</f>
        <v/>
      </c>
      <c r="I8" s="17">
        <f>Assumptions!$B$76+Assumptions!$B$77*(I5-1)</f>
        <v/>
      </c>
      <c r="J8" s="17">
        <f>Assumptions!$B$76+Assumptions!$B$77*(J5-1)</f>
        <v/>
      </c>
      <c r="K8" s="17">
        <f>Assumptions!$B$76+Assumptions!$B$77*(K5-1)</f>
        <v/>
      </c>
      <c r="L8" s="17">
        <f>Assumptions!$B$76+Assumptions!$B$77*(L5-1)</f>
        <v/>
      </c>
      <c r="M8" s="17">
        <f>Assumptions!$B$76+Assumptions!$B$77*(M5-1)</f>
        <v/>
      </c>
      <c r="N8" s="17">
        <f>Assumptions!$B$76+Assumptions!$B$77*(N5-1)</f>
        <v/>
      </c>
      <c r="O8" s="17">
        <f>Assumptions!$B$76+Assumptions!$B$77*(O5-1)</f>
        <v/>
      </c>
      <c r="P8" s="17">
        <f>Assumptions!$B$76+Assumptions!$B$77*(P5-1)</f>
        <v/>
      </c>
      <c r="Q8" s="17">
        <f>Assumptions!$B$76+Assumptions!$B$77*(Q5-1)</f>
        <v/>
      </c>
      <c r="R8" s="17">
        <f>Assumptions!$B$76+Assumptions!$B$77*(R5-1)</f>
        <v/>
      </c>
      <c r="S8" s="17">
        <f>Assumptions!$B$76+Assumptions!$B$77*(S5-1)</f>
        <v/>
      </c>
      <c r="T8" s="17">
        <f>Assumptions!$B$76+Assumptions!$B$77*(T5-1)</f>
        <v/>
      </c>
      <c r="U8" s="17">
        <f>Assumptions!$B$76+Assumptions!$B$77*(U5-1)</f>
        <v/>
      </c>
      <c r="V8" s="17">
        <f>Assumptions!$B$76+Assumptions!$B$77*(V5-1)</f>
        <v/>
      </c>
      <c r="W8" s="17">
        <f>Assumptions!$B$76+Assumptions!$B$77*(W5-1)</f>
        <v/>
      </c>
      <c r="X8" s="17">
        <f>Assumptions!$B$76+Assumptions!$B$77*(X5-1)</f>
        <v/>
      </c>
      <c r="Y8" s="17">
        <f>Assumptions!$B$76+Assumptions!$B$77*(Y5-1)</f>
        <v/>
      </c>
    </row>
    <row r="9">
      <c r="A9" s="5" t="inlineStr">
        <is>
          <t>Total free signups</t>
        </is>
      </c>
      <c r="B9" s="17">
        <f>B7+B8</f>
        <v/>
      </c>
      <c r="C9" s="17">
        <f>C7+C8</f>
        <v/>
      </c>
      <c r="D9" s="17">
        <f>D7+D8</f>
        <v/>
      </c>
      <c r="E9" s="17">
        <f>E7+E8</f>
        <v/>
      </c>
      <c r="F9" s="17">
        <f>F7+F8</f>
        <v/>
      </c>
      <c r="G9" s="17">
        <f>G7+G8</f>
        <v/>
      </c>
      <c r="H9" s="17">
        <f>H7+H8</f>
        <v/>
      </c>
      <c r="I9" s="17">
        <f>I7+I8</f>
        <v/>
      </c>
      <c r="J9" s="17">
        <f>J7+J8</f>
        <v/>
      </c>
      <c r="K9" s="17">
        <f>K7+K8</f>
        <v/>
      </c>
      <c r="L9" s="17">
        <f>L7+L8</f>
        <v/>
      </c>
      <c r="M9" s="17">
        <f>M7+M8</f>
        <v/>
      </c>
      <c r="N9" s="17">
        <f>N7+N8</f>
        <v/>
      </c>
      <c r="O9" s="17">
        <f>O7+O8</f>
        <v/>
      </c>
      <c r="P9" s="17">
        <f>P7+P8</f>
        <v/>
      </c>
      <c r="Q9" s="17">
        <f>Q7+Q8</f>
        <v/>
      </c>
      <c r="R9" s="17">
        <f>R7+R8</f>
        <v/>
      </c>
      <c r="S9" s="17">
        <f>S7+S8</f>
        <v/>
      </c>
      <c r="T9" s="17">
        <f>T7+T8</f>
        <v/>
      </c>
      <c r="U9" s="17">
        <f>U7+U8</f>
        <v/>
      </c>
      <c r="V9" s="17">
        <f>V7+V8</f>
        <v/>
      </c>
      <c r="W9" s="17">
        <f>W7+W8</f>
        <v/>
      </c>
      <c r="X9" s="17">
        <f>X7+X8</f>
        <v/>
      </c>
      <c r="Y9" s="17">
        <f>Y7+Y8</f>
        <v/>
      </c>
    </row>
    <row r="10">
      <c r="A10" s="5" t="inlineStr">
        <is>
          <t>New paid customers from self-serve</t>
        </is>
      </c>
      <c r="B10" s="17">
        <f>B9*Assumptions!$B$68</f>
        <v/>
      </c>
      <c r="C10" s="17">
        <f>C9*Assumptions!$B$68</f>
        <v/>
      </c>
      <c r="D10" s="17">
        <f>D9*Assumptions!$B$68</f>
        <v/>
      </c>
      <c r="E10" s="17">
        <f>E9*Assumptions!$B$68</f>
        <v/>
      </c>
      <c r="F10" s="17">
        <f>F9*Assumptions!$B$68</f>
        <v/>
      </c>
      <c r="G10" s="17">
        <f>G9*Assumptions!$B$68</f>
        <v/>
      </c>
      <c r="H10" s="17">
        <f>H9*Assumptions!$B$68</f>
        <v/>
      </c>
      <c r="I10" s="17">
        <f>I9*Assumptions!$B$68</f>
        <v/>
      </c>
      <c r="J10" s="17">
        <f>J9*Assumptions!$B$68</f>
        <v/>
      </c>
      <c r="K10" s="17">
        <f>K9*Assumptions!$B$68</f>
        <v/>
      </c>
      <c r="L10" s="17">
        <f>L9*Assumptions!$B$68</f>
        <v/>
      </c>
      <c r="M10" s="17">
        <f>M9*Assumptions!$B$68</f>
        <v/>
      </c>
      <c r="N10" s="17">
        <f>N9*Assumptions!$B$68</f>
        <v/>
      </c>
      <c r="O10" s="17">
        <f>O9*Assumptions!$B$68</f>
        <v/>
      </c>
      <c r="P10" s="17">
        <f>P9*Assumptions!$B$68</f>
        <v/>
      </c>
      <c r="Q10" s="17">
        <f>Q9*Assumptions!$B$68</f>
        <v/>
      </c>
      <c r="R10" s="17">
        <f>R9*Assumptions!$B$68</f>
        <v/>
      </c>
      <c r="S10" s="17">
        <f>S9*Assumptions!$B$68</f>
        <v/>
      </c>
      <c r="T10" s="17">
        <f>T9*Assumptions!$B$68</f>
        <v/>
      </c>
      <c r="U10" s="17">
        <f>U9*Assumptions!$B$68</f>
        <v/>
      </c>
      <c r="V10" s="17">
        <f>V9*Assumptions!$B$68</f>
        <v/>
      </c>
      <c r="W10" s="17">
        <f>W9*Assumptions!$B$68</f>
        <v/>
      </c>
      <c r="X10" s="17">
        <f>X9*Assumptions!$B$68</f>
        <v/>
      </c>
      <c r="Y10" s="17">
        <f>Y9*Assumptions!$B$68</f>
        <v/>
      </c>
    </row>
    <row r="11">
      <c r="A11" s="5" t="inlineStr">
        <is>
          <t>New Everyday</t>
        </is>
      </c>
      <c r="B11" s="17">
        <f>B10*Assumptions!$B$69</f>
        <v/>
      </c>
      <c r="C11" s="17">
        <f>C10*Assumptions!$B$69</f>
        <v/>
      </c>
      <c r="D11" s="17">
        <f>D10*Assumptions!$B$69</f>
        <v/>
      </c>
      <c r="E11" s="17">
        <f>E10*Assumptions!$B$69</f>
        <v/>
      </c>
      <c r="F11" s="17">
        <f>F10*Assumptions!$B$69</f>
        <v/>
      </c>
      <c r="G11" s="17">
        <f>G10*Assumptions!$B$69</f>
        <v/>
      </c>
      <c r="H11" s="17">
        <f>H10*Assumptions!$B$69</f>
        <v/>
      </c>
      <c r="I11" s="17">
        <f>I10*Assumptions!$B$69</f>
        <v/>
      </c>
      <c r="J11" s="17">
        <f>J10*Assumptions!$B$69</f>
        <v/>
      </c>
      <c r="K11" s="17">
        <f>K10*Assumptions!$B$69</f>
        <v/>
      </c>
      <c r="L11" s="17">
        <f>L10*Assumptions!$B$69</f>
        <v/>
      </c>
      <c r="M11" s="17">
        <f>M10*Assumptions!$B$69</f>
        <v/>
      </c>
      <c r="N11" s="17">
        <f>N10*Assumptions!$B$69</f>
        <v/>
      </c>
      <c r="O11" s="17">
        <f>O10*Assumptions!$B$69</f>
        <v/>
      </c>
      <c r="P11" s="17">
        <f>P10*Assumptions!$B$69</f>
        <v/>
      </c>
      <c r="Q11" s="17">
        <f>Q10*Assumptions!$B$69</f>
        <v/>
      </c>
      <c r="R11" s="17">
        <f>R10*Assumptions!$B$69</f>
        <v/>
      </c>
      <c r="S11" s="17">
        <f>S10*Assumptions!$B$69</f>
        <v/>
      </c>
      <c r="T11" s="17">
        <f>T10*Assumptions!$B$69</f>
        <v/>
      </c>
      <c r="U11" s="17">
        <f>U10*Assumptions!$B$69</f>
        <v/>
      </c>
      <c r="V11" s="17">
        <f>V10*Assumptions!$B$69</f>
        <v/>
      </c>
      <c r="W11" s="17">
        <f>W10*Assumptions!$B$69</f>
        <v/>
      </c>
      <c r="X11" s="17">
        <f>X10*Assumptions!$B$69</f>
        <v/>
      </c>
      <c r="Y11" s="17">
        <f>Y10*Assumptions!$B$69</f>
        <v/>
      </c>
    </row>
    <row r="12">
      <c r="A12" s="5" t="inlineStr">
        <is>
          <t>New Business</t>
        </is>
      </c>
      <c r="B12" s="17">
        <f>B10*Assumptions!$B$70</f>
        <v/>
      </c>
      <c r="C12" s="17">
        <f>C10*Assumptions!$B$70</f>
        <v/>
      </c>
      <c r="D12" s="17">
        <f>D10*Assumptions!$B$70</f>
        <v/>
      </c>
      <c r="E12" s="17">
        <f>E10*Assumptions!$B$70</f>
        <v/>
      </c>
      <c r="F12" s="17">
        <f>F10*Assumptions!$B$70</f>
        <v/>
      </c>
      <c r="G12" s="17">
        <f>G10*Assumptions!$B$70</f>
        <v/>
      </c>
      <c r="H12" s="17">
        <f>H10*Assumptions!$B$70</f>
        <v/>
      </c>
      <c r="I12" s="17">
        <f>I10*Assumptions!$B$70</f>
        <v/>
      </c>
      <c r="J12" s="17">
        <f>J10*Assumptions!$B$70</f>
        <v/>
      </c>
      <c r="K12" s="17">
        <f>K10*Assumptions!$B$70</f>
        <v/>
      </c>
      <c r="L12" s="17">
        <f>L10*Assumptions!$B$70</f>
        <v/>
      </c>
      <c r="M12" s="17">
        <f>M10*Assumptions!$B$70</f>
        <v/>
      </c>
      <c r="N12" s="17">
        <f>N10*Assumptions!$B$70</f>
        <v/>
      </c>
      <c r="O12" s="17">
        <f>O10*Assumptions!$B$70</f>
        <v/>
      </c>
      <c r="P12" s="17">
        <f>P10*Assumptions!$B$70</f>
        <v/>
      </c>
      <c r="Q12" s="17">
        <f>Q10*Assumptions!$B$70</f>
        <v/>
      </c>
      <c r="R12" s="17">
        <f>R10*Assumptions!$B$70</f>
        <v/>
      </c>
      <c r="S12" s="17">
        <f>S10*Assumptions!$B$70</f>
        <v/>
      </c>
      <c r="T12" s="17">
        <f>T10*Assumptions!$B$70</f>
        <v/>
      </c>
      <c r="U12" s="17">
        <f>U10*Assumptions!$B$70</f>
        <v/>
      </c>
      <c r="V12" s="17">
        <f>V10*Assumptions!$B$70</f>
        <v/>
      </c>
      <c r="W12" s="17">
        <f>W10*Assumptions!$B$70</f>
        <v/>
      </c>
      <c r="X12" s="17">
        <f>X10*Assumptions!$B$70</f>
        <v/>
      </c>
      <c r="Y12" s="17">
        <f>Y10*Assumptions!$B$70</f>
        <v/>
      </c>
    </row>
    <row r="13">
      <c r="A13" s="5" t="inlineStr">
        <is>
          <t>New Growth</t>
        </is>
      </c>
      <c r="B13" s="17">
        <f>B10*Assumptions!$B$71</f>
        <v/>
      </c>
      <c r="C13" s="17">
        <f>C10*Assumptions!$B$71</f>
        <v/>
      </c>
      <c r="D13" s="17">
        <f>D10*Assumptions!$B$71</f>
        <v/>
      </c>
      <c r="E13" s="17">
        <f>E10*Assumptions!$B$71</f>
        <v/>
      </c>
      <c r="F13" s="17">
        <f>F10*Assumptions!$B$71</f>
        <v/>
      </c>
      <c r="G13" s="17">
        <f>G10*Assumptions!$B$71</f>
        <v/>
      </c>
      <c r="H13" s="17">
        <f>H10*Assumptions!$B$71</f>
        <v/>
      </c>
      <c r="I13" s="17">
        <f>I10*Assumptions!$B$71</f>
        <v/>
      </c>
      <c r="J13" s="17">
        <f>J10*Assumptions!$B$71</f>
        <v/>
      </c>
      <c r="K13" s="17">
        <f>K10*Assumptions!$B$71</f>
        <v/>
      </c>
      <c r="L13" s="17">
        <f>L10*Assumptions!$B$71</f>
        <v/>
      </c>
      <c r="M13" s="17">
        <f>M10*Assumptions!$B$71</f>
        <v/>
      </c>
      <c r="N13" s="17">
        <f>N10*Assumptions!$B$71</f>
        <v/>
      </c>
      <c r="O13" s="17">
        <f>O10*Assumptions!$B$71</f>
        <v/>
      </c>
      <c r="P13" s="17">
        <f>P10*Assumptions!$B$71</f>
        <v/>
      </c>
      <c r="Q13" s="17">
        <f>Q10*Assumptions!$B$71</f>
        <v/>
      </c>
      <c r="R13" s="17">
        <f>R10*Assumptions!$B$71</f>
        <v/>
      </c>
      <c r="S13" s="17">
        <f>S10*Assumptions!$B$71</f>
        <v/>
      </c>
      <c r="T13" s="17">
        <f>T10*Assumptions!$B$71</f>
        <v/>
      </c>
      <c r="U13" s="17">
        <f>U10*Assumptions!$B$71</f>
        <v/>
      </c>
      <c r="V13" s="17">
        <f>V10*Assumptions!$B$71</f>
        <v/>
      </c>
      <c r="W13" s="17">
        <f>W10*Assumptions!$B$71</f>
        <v/>
      </c>
      <c r="X13" s="17">
        <f>X10*Assumptions!$B$71</f>
        <v/>
      </c>
      <c r="Y13" s="17">
        <f>Y10*Assumptions!$B$71</f>
        <v/>
      </c>
    </row>
    <row r="14">
      <c r="A14" s="5" t="inlineStr">
        <is>
          <t>New Scale</t>
        </is>
      </c>
      <c r="B14" s="17">
        <f>B10*Assumptions!$B$72</f>
        <v/>
      </c>
      <c r="C14" s="17">
        <f>C10*Assumptions!$B$72</f>
        <v/>
      </c>
      <c r="D14" s="17">
        <f>D10*Assumptions!$B$72</f>
        <v/>
      </c>
      <c r="E14" s="17">
        <f>E10*Assumptions!$B$72</f>
        <v/>
      </c>
      <c r="F14" s="17">
        <f>F10*Assumptions!$B$72</f>
        <v/>
      </c>
      <c r="G14" s="17">
        <f>G10*Assumptions!$B$72</f>
        <v/>
      </c>
      <c r="H14" s="17">
        <f>H10*Assumptions!$B$72</f>
        <v/>
      </c>
      <c r="I14" s="17">
        <f>I10*Assumptions!$B$72</f>
        <v/>
      </c>
      <c r="J14" s="17">
        <f>J10*Assumptions!$B$72</f>
        <v/>
      </c>
      <c r="K14" s="17">
        <f>K10*Assumptions!$B$72</f>
        <v/>
      </c>
      <c r="L14" s="17">
        <f>L10*Assumptions!$B$72</f>
        <v/>
      </c>
      <c r="M14" s="17">
        <f>M10*Assumptions!$B$72</f>
        <v/>
      </c>
      <c r="N14" s="17">
        <f>N10*Assumptions!$B$72</f>
        <v/>
      </c>
      <c r="O14" s="17">
        <f>O10*Assumptions!$B$72</f>
        <v/>
      </c>
      <c r="P14" s="17">
        <f>P10*Assumptions!$B$72</f>
        <v/>
      </c>
      <c r="Q14" s="17">
        <f>Q10*Assumptions!$B$72</f>
        <v/>
      </c>
      <c r="R14" s="17">
        <f>R10*Assumptions!$B$72</f>
        <v/>
      </c>
      <c r="S14" s="17">
        <f>S10*Assumptions!$B$72</f>
        <v/>
      </c>
      <c r="T14" s="17">
        <f>T10*Assumptions!$B$72</f>
        <v/>
      </c>
      <c r="U14" s="17">
        <f>U10*Assumptions!$B$72</f>
        <v/>
      </c>
      <c r="V14" s="17">
        <f>V10*Assumptions!$B$72</f>
        <v/>
      </c>
      <c r="W14" s="17">
        <f>W10*Assumptions!$B$72</f>
        <v/>
      </c>
      <c r="X14" s="17">
        <f>X10*Assumptions!$B$72</f>
        <v/>
      </c>
      <c r="Y14" s="17">
        <f>Y10*Assumptions!$B$72</f>
        <v/>
      </c>
    </row>
    <row r="15">
      <c r="A15" s="5" t="inlineStr">
        <is>
          <t>New Business via champions</t>
        </is>
      </c>
      <c r="B15" s="17">
        <f>IF(B5&gt;=Assumptions!$B$78,Assumptions!$B$79*Assumptions!$B$80,0)</f>
        <v/>
      </c>
      <c r="C15" s="17">
        <f>IF(C5&gt;=Assumptions!$B$78,Assumptions!$B$79*Assumptions!$B$80,0)</f>
        <v/>
      </c>
      <c r="D15" s="17">
        <f>IF(D5&gt;=Assumptions!$B$78,Assumptions!$B$79*Assumptions!$B$80,0)</f>
        <v/>
      </c>
      <c r="E15" s="17">
        <f>IF(E5&gt;=Assumptions!$B$78,Assumptions!$B$79*Assumptions!$B$80,0)</f>
        <v/>
      </c>
      <c r="F15" s="17">
        <f>IF(F5&gt;=Assumptions!$B$78,Assumptions!$B$79*Assumptions!$B$80,0)</f>
        <v/>
      </c>
      <c r="G15" s="17">
        <f>IF(G5&gt;=Assumptions!$B$78,Assumptions!$B$79*Assumptions!$B$80,0)</f>
        <v/>
      </c>
      <c r="H15" s="17">
        <f>IF(H5&gt;=Assumptions!$B$78,Assumptions!$B$79*Assumptions!$B$80,0)</f>
        <v/>
      </c>
      <c r="I15" s="17">
        <f>IF(I5&gt;=Assumptions!$B$78,Assumptions!$B$79*Assumptions!$B$80,0)</f>
        <v/>
      </c>
      <c r="J15" s="17">
        <f>IF(J5&gt;=Assumptions!$B$78,Assumptions!$B$79*Assumptions!$B$80,0)</f>
        <v/>
      </c>
      <c r="K15" s="17">
        <f>IF(K5&gt;=Assumptions!$B$78,Assumptions!$B$79*Assumptions!$B$80,0)</f>
        <v/>
      </c>
      <c r="L15" s="17">
        <f>IF(L5&gt;=Assumptions!$B$78,Assumptions!$B$79*Assumptions!$B$80,0)</f>
        <v/>
      </c>
      <c r="M15" s="17">
        <f>IF(M5&gt;=Assumptions!$B$78,Assumptions!$B$79*Assumptions!$B$80,0)</f>
        <v/>
      </c>
      <c r="N15" s="17">
        <f>IF(N5&gt;=Assumptions!$B$78,Assumptions!$B$79*Assumptions!$B$80,0)</f>
        <v/>
      </c>
      <c r="O15" s="17">
        <f>IF(O5&gt;=Assumptions!$B$78,Assumptions!$B$79*Assumptions!$B$80,0)</f>
        <v/>
      </c>
      <c r="P15" s="17">
        <f>IF(P5&gt;=Assumptions!$B$78,Assumptions!$B$79*Assumptions!$B$80,0)</f>
        <v/>
      </c>
      <c r="Q15" s="17">
        <f>IF(Q5&gt;=Assumptions!$B$78,Assumptions!$B$79*Assumptions!$B$80,0)</f>
        <v/>
      </c>
      <c r="R15" s="17">
        <f>IF(R5&gt;=Assumptions!$B$78,Assumptions!$B$79*Assumptions!$B$80,0)</f>
        <v/>
      </c>
      <c r="S15" s="17">
        <f>IF(S5&gt;=Assumptions!$B$78,Assumptions!$B$79*Assumptions!$B$80,0)</f>
        <v/>
      </c>
      <c r="T15" s="17">
        <f>IF(T5&gt;=Assumptions!$B$78,Assumptions!$B$79*Assumptions!$B$80,0)</f>
        <v/>
      </c>
      <c r="U15" s="17">
        <f>IF(U5&gt;=Assumptions!$B$78,Assumptions!$B$79*Assumptions!$B$80,0)</f>
        <v/>
      </c>
      <c r="V15" s="17">
        <f>IF(V5&gt;=Assumptions!$B$78,Assumptions!$B$79*Assumptions!$B$80,0)</f>
        <v/>
      </c>
      <c r="W15" s="17">
        <f>IF(W5&gt;=Assumptions!$B$78,Assumptions!$B$79*Assumptions!$B$80,0)</f>
        <v/>
      </c>
      <c r="X15" s="17">
        <f>IF(X5&gt;=Assumptions!$B$78,Assumptions!$B$79*Assumptions!$B$80,0)</f>
        <v/>
      </c>
      <c r="Y15" s="17">
        <f>IF(Y5&gt;=Assumptions!$B$78,Assumptions!$B$79*Assumptions!$B$80,0)</f>
        <v/>
      </c>
    </row>
    <row r="16">
      <c r="A16" s="5" t="inlineStr">
        <is>
          <t>Customers: Everyday</t>
        </is>
      </c>
      <c r="B16" s="17">
        <f>0*(1-Assumptions!$B$21)+B11</f>
        <v/>
      </c>
      <c r="C16" s="17">
        <f>B16*(1-Assumptions!$B$21)+C11</f>
        <v/>
      </c>
      <c r="D16" s="17">
        <f>C16*(1-Assumptions!$B$21)+D11</f>
        <v/>
      </c>
      <c r="E16" s="17">
        <f>D16*(1-Assumptions!$B$21)+E11</f>
        <v/>
      </c>
      <c r="F16" s="17">
        <f>E16*(1-Assumptions!$B$21)+F11</f>
        <v/>
      </c>
      <c r="G16" s="17">
        <f>F16*(1-Assumptions!$B$21)+G11</f>
        <v/>
      </c>
      <c r="H16" s="17">
        <f>G16*(1-Assumptions!$B$21)+H11</f>
        <v/>
      </c>
      <c r="I16" s="17">
        <f>H16*(1-Assumptions!$B$21)+I11</f>
        <v/>
      </c>
      <c r="J16" s="17">
        <f>I16*(1-Assumptions!$B$21)+J11</f>
        <v/>
      </c>
      <c r="K16" s="17">
        <f>J16*(1-Assumptions!$B$21)+K11</f>
        <v/>
      </c>
      <c r="L16" s="17">
        <f>K16*(1-Assumptions!$B$21)+L11</f>
        <v/>
      </c>
      <c r="M16" s="17">
        <f>L16*(1-Assumptions!$B$21)+M11</f>
        <v/>
      </c>
      <c r="N16" s="17">
        <f>M16*(1-Assumptions!$B$21)+N11</f>
        <v/>
      </c>
      <c r="O16" s="17">
        <f>N16*(1-Assumptions!$B$21)+O11</f>
        <v/>
      </c>
      <c r="P16" s="17">
        <f>O16*(1-Assumptions!$B$21)+P11</f>
        <v/>
      </c>
      <c r="Q16" s="17">
        <f>P16*(1-Assumptions!$B$21)+Q11</f>
        <v/>
      </c>
      <c r="R16" s="17">
        <f>Q16*(1-Assumptions!$B$21)+R11</f>
        <v/>
      </c>
      <c r="S16" s="17">
        <f>R16*(1-Assumptions!$B$21)+S11</f>
        <v/>
      </c>
      <c r="T16" s="17">
        <f>S16*(1-Assumptions!$B$21)+T11</f>
        <v/>
      </c>
      <c r="U16" s="17">
        <f>T16*(1-Assumptions!$B$21)+U11</f>
        <v/>
      </c>
      <c r="V16" s="17">
        <f>U16*(1-Assumptions!$B$21)+V11</f>
        <v/>
      </c>
      <c r="W16" s="17">
        <f>V16*(1-Assumptions!$B$21)+W11</f>
        <v/>
      </c>
      <c r="X16" s="17">
        <f>W16*(1-Assumptions!$B$21)+X11</f>
        <v/>
      </c>
      <c r="Y16" s="17">
        <f>X16*(1-Assumptions!$B$21)+Y11</f>
        <v/>
      </c>
    </row>
    <row r="17">
      <c r="A17" s="5" t="inlineStr">
        <is>
          <t>Customers: Business</t>
        </is>
      </c>
      <c r="B17" s="17">
        <f>0*(1-Assumptions!$B$28)+B12</f>
        <v/>
      </c>
      <c r="C17" s="17">
        <f>B17*(1-Assumptions!$B$28)+C12</f>
        <v/>
      </c>
      <c r="D17" s="17">
        <f>C17*(1-Assumptions!$B$28)+D12</f>
        <v/>
      </c>
      <c r="E17" s="17">
        <f>D17*(1-Assumptions!$B$28)+E12</f>
        <v/>
      </c>
      <c r="F17" s="17">
        <f>E17*(1-Assumptions!$B$28)+F12</f>
        <v/>
      </c>
      <c r="G17" s="17">
        <f>F17*(1-Assumptions!$B$28)+G12</f>
        <v/>
      </c>
      <c r="H17" s="17">
        <f>G17*(1-Assumptions!$B$28)+H12</f>
        <v/>
      </c>
      <c r="I17" s="17">
        <f>H17*(1-Assumptions!$B$28)+I12</f>
        <v/>
      </c>
      <c r="J17" s="17">
        <f>I17*(1-Assumptions!$B$28)+J12</f>
        <v/>
      </c>
      <c r="K17" s="17">
        <f>J17*(1-Assumptions!$B$28)+K12</f>
        <v/>
      </c>
      <c r="L17" s="17">
        <f>K17*(1-Assumptions!$B$28)+L12</f>
        <v/>
      </c>
      <c r="M17" s="17">
        <f>L17*(1-Assumptions!$B$28)+M12</f>
        <v/>
      </c>
      <c r="N17" s="17">
        <f>M17*(1-Assumptions!$B$28)+N12</f>
        <v/>
      </c>
      <c r="O17" s="17">
        <f>N17*(1-Assumptions!$B$28)+O12</f>
        <v/>
      </c>
      <c r="P17" s="17">
        <f>O17*(1-Assumptions!$B$28)+P12</f>
        <v/>
      </c>
      <c r="Q17" s="17">
        <f>P17*(1-Assumptions!$B$28)+Q12</f>
        <v/>
      </c>
      <c r="R17" s="17">
        <f>Q17*(1-Assumptions!$B$28)+R12</f>
        <v/>
      </c>
      <c r="S17" s="17">
        <f>R17*(1-Assumptions!$B$28)+S12</f>
        <v/>
      </c>
      <c r="T17" s="17">
        <f>S17*(1-Assumptions!$B$28)+T12</f>
        <v/>
      </c>
      <c r="U17" s="17">
        <f>T17*(1-Assumptions!$B$28)+U12</f>
        <v/>
      </c>
      <c r="V17" s="17">
        <f>U17*(1-Assumptions!$B$28)+V12</f>
        <v/>
      </c>
      <c r="W17" s="17">
        <f>V17*(1-Assumptions!$B$28)+W12</f>
        <v/>
      </c>
      <c r="X17" s="17">
        <f>W17*(1-Assumptions!$B$28)+X12</f>
        <v/>
      </c>
      <c r="Y17" s="17">
        <f>X17*(1-Assumptions!$B$28)+Y12</f>
        <v/>
      </c>
    </row>
    <row r="18">
      <c r="A18" s="5" t="inlineStr">
        <is>
          <t>Customers: Growth</t>
        </is>
      </c>
      <c r="B18" s="17">
        <f>0*(1-Assumptions!$B$35)+B13</f>
        <v/>
      </c>
      <c r="C18" s="17">
        <f>B18*(1-Assumptions!$B$35)+C13</f>
        <v/>
      </c>
      <c r="D18" s="17">
        <f>C18*(1-Assumptions!$B$35)+D13</f>
        <v/>
      </c>
      <c r="E18" s="17">
        <f>D18*(1-Assumptions!$B$35)+E13</f>
        <v/>
      </c>
      <c r="F18" s="17">
        <f>E18*(1-Assumptions!$B$35)+F13</f>
        <v/>
      </c>
      <c r="G18" s="17">
        <f>F18*(1-Assumptions!$B$35)+G13</f>
        <v/>
      </c>
      <c r="H18" s="17">
        <f>G18*(1-Assumptions!$B$35)+H13</f>
        <v/>
      </c>
      <c r="I18" s="17">
        <f>H18*(1-Assumptions!$B$35)+I13</f>
        <v/>
      </c>
      <c r="J18" s="17">
        <f>I18*(1-Assumptions!$B$35)+J13</f>
        <v/>
      </c>
      <c r="K18" s="17">
        <f>J18*(1-Assumptions!$B$35)+K13</f>
        <v/>
      </c>
      <c r="L18" s="17">
        <f>K18*(1-Assumptions!$B$35)+L13</f>
        <v/>
      </c>
      <c r="M18" s="17">
        <f>L18*(1-Assumptions!$B$35)+M13</f>
        <v/>
      </c>
      <c r="N18" s="17">
        <f>M18*(1-Assumptions!$B$35)+N13</f>
        <v/>
      </c>
      <c r="O18" s="17">
        <f>N18*(1-Assumptions!$B$35)+O13</f>
        <v/>
      </c>
      <c r="P18" s="17">
        <f>O18*(1-Assumptions!$B$35)+P13</f>
        <v/>
      </c>
      <c r="Q18" s="17">
        <f>P18*(1-Assumptions!$B$35)+Q13</f>
        <v/>
      </c>
      <c r="R18" s="17">
        <f>Q18*(1-Assumptions!$B$35)+R13</f>
        <v/>
      </c>
      <c r="S18" s="17">
        <f>R18*(1-Assumptions!$B$35)+S13</f>
        <v/>
      </c>
      <c r="T18" s="17">
        <f>S18*(1-Assumptions!$B$35)+T13</f>
        <v/>
      </c>
      <c r="U18" s="17">
        <f>T18*(1-Assumptions!$B$35)+U13</f>
        <v/>
      </c>
      <c r="V18" s="17">
        <f>U18*(1-Assumptions!$B$35)+V13</f>
        <v/>
      </c>
      <c r="W18" s="17">
        <f>V18*(1-Assumptions!$B$35)+W13</f>
        <v/>
      </c>
      <c r="X18" s="17">
        <f>W18*(1-Assumptions!$B$35)+X13</f>
        <v/>
      </c>
      <c r="Y18" s="17">
        <f>X18*(1-Assumptions!$B$35)+Y13</f>
        <v/>
      </c>
    </row>
    <row r="19">
      <c r="A19" s="5" t="inlineStr">
        <is>
          <t>Customers: Scale</t>
        </is>
      </c>
      <c r="B19" s="17">
        <f>0*(1-Assumptions!$B$42)+B14</f>
        <v/>
      </c>
      <c r="C19" s="17">
        <f>B19*(1-Assumptions!$B$42)+C14</f>
        <v/>
      </c>
      <c r="D19" s="17">
        <f>C19*(1-Assumptions!$B$42)+D14</f>
        <v/>
      </c>
      <c r="E19" s="17">
        <f>D19*(1-Assumptions!$B$42)+E14</f>
        <v/>
      </c>
      <c r="F19" s="17">
        <f>E19*(1-Assumptions!$B$42)+F14</f>
        <v/>
      </c>
      <c r="G19" s="17">
        <f>F19*(1-Assumptions!$B$42)+G14</f>
        <v/>
      </c>
      <c r="H19" s="17">
        <f>G19*(1-Assumptions!$B$42)+H14</f>
        <v/>
      </c>
      <c r="I19" s="17">
        <f>H19*(1-Assumptions!$B$42)+I14</f>
        <v/>
      </c>
      <c r="J19" s="17">
        <f>I19*(1-Assumptions!$B$42)+J14</f>
        <v/>
      </c>
      <c r="K19" s="17">
        <f>J19*(1-Assumptions!$B$42)+K14</f>
        <v/>
      </c>
      <c r="L19" s="17">
        <f>K19*(1-Assumptions!$B$42)+L14</f>
        <v/>
      </c>
      <c r="M19" s="17">
        <f>L19*(1-Assumptions!$B$42)+M14</f>
        <v/>
      </c>
      <c r="N19" s="17">
        <f>M19*(1-Assumptions!$B$42)+N14</f>
        <v/>
      </c>
      <c r="O19" s="17">
        <f>N19*(1-Assumptions!$B$42)+O14</f>
        <v/>
      </c>
      <c r="P19" s="17">
        <f>O19*(1-Assumptions!$B$42)+P14</f>
        <v/>
      </c>
      <c r="Q19" s="17">
        <f>P19*(1-Assumptions!$B$42)+Q14</f>
        <v/>
      </c>
      <c r="R19" s="17">
        <f>Q19*(1-Assumptions!$B$42)+R14</f>
        <v/>
      </c>
      <c r="S19" s="17">
        <f>R19*(1-Assumptions!$B$42)+S14</f>
        <v/>
      </c>
      <c r="T19" s="17">
        <f>S19*(1-Assumptions!$B$42)+T14</f>
        <v/>
      </c>
      <c r="U19" s="17">
        <f>T19*(1-Assumptions!$B$42)+U14</f>
        <v/>
      </c>
      <c r="V19" s="17">
        <f>U19*(1-Assumptions!$B$42)+V14</f>
        <v/>
      </c>
      <c r="W19" s="17">
        <f>V19*(1-Assumptions!$B$42)+W14</f>
        <v/>
      </c>
      <c r="X19" s="17">
        <f>W19*(1-Assumptions!$B$42)+X14</f>
        <v/>
      </c>
      <c r="Y19" s="17">
        <f>X19*(1-Assumptions!$B$42)+Y14</f>
        <v/>
      </c>
    </row>
    <row r="20">
      <c r="A20" s="5" t="inlineStr">
        <is>
          <t>Customers: Business (champion-sourced)</t>
        </is>
      </c>
      <c r="B20" s="17">
        <f>0*(1-Assumptions!$B$28)+B15</f>
        <v/>
      </c>
      <c r="C20" s="17">
        <f>B20*(1-Assumptions!$B$28)+C15</f>
        <v/>
      </c>
      <c r="D20" s="17">
        <f>C20*(1-Assumptions!$B$28)+D15</f>
        <v/>
      </c>
      <c r="E20" s="17">
        <f>D20*(1-Assumptions!$B$28)+E15</f>
        <v/>
      </c>
      <c r="F20" s="17">
        <f>E20*(1-Assumptions!$B$28)+F15</f>
        <v/>
      </c>
      <c r="G20" s="17">
        <f>F20*(1-Assumptions!$B$28)+G15</f>
        <v/>
      </c>
      <c r="H20" s="17">
        <f>G20*(1-Assumptions!$B$28)+H15</f>
        <v/>
      </c>
      <c r="I20" s="17">
        <f>H20*(1-Assumptions!$B$28)+I15</f>
        <v/>
      </c>
      <c r="J20" s="17">
        <f>I20*(1-Assumptions!$B$28)+J15</f>
        <v/>
      </c>
      <c r="K20" s="17">
        <f>J20*(1-Assumptions!$B$28)+K15</f>
        <v/>
      </c>
      <c r="L20" s="17">
        <f>K20*(1-Assumptions!$B$28)+L15</f>
        <v/>
      </c>
      <c r="M20" s="17">
        <f>L20*(1-Assumptions!$B$28)+M15</f>
        <v/>
      </c>
      <c r="N20" s="17">
        <f>M20*(1-Assumptions!$B$28)+N15</f>
        <v/>
      </c>
      <c r="O20" s="17">
        <f>N20*(1-Assumptions!$B$28)+O15</f>
        <v/>
      </c>
      <c r="P20" s="17">
        <f>O20*(1-Assumptions!$B$28)+P15</f>
        <v/>
      </c>
      <c r="Q20" s="17">
        <f>P20*(1-Assumptions!$B$28)+Q15</f>
        <v/>
      </c>
      <c r="R20" s="17">
        <f>Q20*(1-Assumptions!$B$28)+R15</f>
        <v/>
      </c>
      <c r="S20" s="17">
        <f>R20*(1-Assumptions!$B$28)+S15</f>
        <v/>
      </c>
      <c r="T20" s="17">
        <f>S20*(1-Assumptions!$B$28)+T15</f>
        <v/>
      </c>
      <c r="U20" s="17">
        <f>T20*(1-Assumptions!$B$28)+U15</f>
        <v/>
      </c>
      <c r="V20" s="17">
        <f>U20*(1-Assumptions!$B$28)+V15</f>
        <v/>
      </c>
      <c r="W20" s="17">
        <f>V20*(1-Assumptions!$B$28)+W15</f>
        <v/>
      </c>
      <c r="X20" s="17">
        <f>W20*(1-Assumptions!$B$28)+X15</f>
        <v/>
      </c>
      <c r="Y20" s="17">
        <f>X20*(1-Assumptions!$B$28)+Y15</f>
        <v/>
      </c>
    </row>
    <row r="21">
      <c r="A21" s="3" t="inlineStr">
        <is>
          <t>Paying customers, total</t>
        </is>
      </c>
      <c r="B21" s="17">
        <f>SUM(B16:B20)</f>
        <v/>
      </c>
      <c r="C21" s="17">
        <f>SUM(C16:C20)</f>
        <v/>
      </c>
      <c r="D21" s="17">
        <f>SUM(D16:D20)</f>
        <v/>
      </c>
      <c r="E21" s="17">
        <f>SUM(E16:E20)</f>
        <v/>
      </c>
      <c r="F21" s="17">
        <f>SUM(F16:F20)</f>
        <v/>
      </c>
      <c r="G21" s="17">
        <f>SUM(G16:G20)</f>
        <v/>
      </c>
      <c r="H21" s="17">
        <f>SUM(H16:H20)</f>
        <v/>
      </c>
      <c r="I21" s="17">
        <f>SUM(I16:I20)</f>
        <v/>
      </c>
      <c r="J21" s="17">
        <f>SUM(J16:J20)</f>
        <v/>
      </c>
      <c r="K21" s="17">
        <f>SUM(K16:K20)</f>
        <v/>
      </c>
      <c r="L21" s="17">
        <f>SUM(L16:L20)</f>
        <v/>
      </c>
      <c r="M21" s="17">
        <f>SUM(M16:M20)</f>
        <v/>
      </c>
      <c r="N21" s="17">
        <f>SUM(N16:N20)</f>
        <v/>
      </c>
      <c r="O21" s="17">
        <f>SUM(O16:O20)</f>
        <v/>
      </c>
      <c r="P21" s="17">
        <f>SUM(P16:P20)</f>
        <v/>
      </c>
      <c r="Q21" s="17">
        <f>SUM(Q16:Q20)</f>
        <v/>
      </c>
      <c r="R21" s="17">
        <f>SUM(R16:R20)</f>
        <v/>
      </c>
      <c r="S21" s="17">
        <f>SUM(S16:S20)</f>
        <v/>
      </c>
      <c r="T21" s="17">
        <f>SUM(T16:T20)</f>
        <v/>
      </c>
      <c r="U21" s="17">
        <f>SUM(U16:U20)</f>
        <v/>
      </c>
      <c r="V21" s="17">
        <f>SUM(V16:V20)</f>
        <v/>
      </c>
      <c r="W21" s="17">
        <f>SUM(W16:W20)</f>
        <v/>
      </c>
      <c r="X21" s="17">
        <f>SUM(X16:X20)</f>
        <v/>
      </c>
      <c r="Y21" s="17">
        <f>SUM(Y16:Y20)</f>
        <v/>
      </c>
    </row>
    <row r="22">
      <c r="A22" s="5" t="inlineStr">
        <is>
          <t>Revenue: Everyday ₹</t>
        </is>
      </c>
      <c r="B22" s="16">
        <f>B16*Plans!$B$7</f>
        <v/>
      </c>
      <c r="C22" s="16">
        <f>C16*Plans!$B$7</f>
        <v/>
      </c>
      <c r="D22" s="16">
        <f>D16*Plans!$B$7</f>
        <v/>
      </c>
      <c r="E22" s="16">
        <f>E16*Plans!$B$7</f>
        <v/>
      </c>
      <c r="F22" s="16">
        <f>F16*Plans!$B$7</f>
        <v/>
      </c>
      <c r="G22" s="16">
        <f>G16*Plans!$B$7</f>
        <v/>
      </c>
      <c r="H22" s="16">
        <f>H16*Plans!$B$7</f>
        <v/>
      </c>
      <c r="I22" s="16">
        <f>I16*Plans!$B$7</f>
        <v/>
      </c>
      <c r="J22" s="16">
        <f>J16*Plans!$B$7</f>
        <v/>
      </c>
      <c r="K22" s="16">
        <f>K16*Plans!$B$7</f>
        <v/>
      </c>
      <c r="L22" s="16">
        <f>L16*Plans!$B$7</f>
        <v/>
      </c>
      <c r="M22" s="16">
        <f>M16*Plans!$B$7</f>
        <v/>
      </c>
      <c r="N22" s="16">
        <f>N16*Plans!$B$7</f>
        <v/>
      </c>
      <c r="O22" s="16">
        <f>O16*Plans!$B$7</f>
        <v/>
      </c>
      <c r="P22" s="16">
        <f>P16*Plans!$B$7</f>
        <v/>
      </c>
      <c r="Q22" s="16">
        <f>Q16*Plans!$B$7</f>
        <v/>
      </c>
      <c r="R22" s="16">
        <f>R16*Plans!$B$7</f>
        <v/>
      </c>
      <c r="S22" s="16">
        <f>S16*Plans!$B$7</f>
        <v/>
      </c>
      <c r="T22" s="16">
        <f>T16*Plans!$B$7</f>
        <v/>
      </c>
      <c r="U22" s="16">
        <f>U16*Plans!$B$7</f>
        <v/>
      </c>
      <c r="V22" s="16">
        <f>V16*Plans!$B$7</f>
        <v/>
      </c>
      <c r="W22" s="16">
        <f>W16*Plans!$B$7</f>
        <v/>
      </c>
      <c r="X22" s="16">
        <f>X16*Plans!$B$7</f>
        <v/>
      </c>
      <c r="Y22" s="16">
        <f>Y16*Plans!$B$7</f>
        <v/>
      </c>
    </row>
    <row r="23">
      <c r="A23" s="5" t="inlineStr">
        <is>
          <t>Revenue: Business ₹</t>
        </is>
      </c>
      <c r="B23" s="16">
        <f>B17*Plans!$C$7</f>
        <v/>
      </c>
      <c r="C23" s="16">
        <f>C17*Plans!$C$7</f>
        <v/>
      </c>
      <c r="D23" s="16">
        <f>D17*Plans!$C$7</f>
        <v/>
      </c>
      <c r="E23" s="16">
        <f>E17*Plans!$C$7</f>
        <v/>
      </c>
      <c r="F23" s="16">
        <f>F17*Plans!$C$7</f>
        <v/>
      </c>
      <c r="G23" s="16">
        <f>G17*Plans!$C$7</f>
        <v/>
      </c>
      <c r="H23" s="16">
        <f>H17*Plans!$C$7</f>
        <v/>
      </c>
      <c r="I23" s="16">
        <f>I17*Plans!$C$7</f>
        <v/>
      </c>
      <c r="J23" s="16">
        <f>J17*Plans!$C$7</f>
        <v/>
      </c>
      <c r="K23" s="16">
        <f>K17*Plans!$C$7</f>
        <v/>
      </c>
      <c r="L23" s="16">
        <f>L17*Plans!$C$7</f>
        <v/>
      </c>
      <c r="M23" s="16">
        <f>M17*Plans!$C$7</f>
        <v/>
      </c>
      <c r="N23" s="16">
        <f>N17*Plans!$C$7</f>
        <v/>
      </c>
      <c r="O23" s="16">
        <f>O17*Plans!$C$7</f>
        <v/>
      </c>
      <c r="P23" s="16">
        <f>P17*Plans!$C$7</f>
        <v/>
      </c>
      <c r="Q23" s="16">
        <f>Q17*Plans!$C$7</f>
        <v/>
      </c>
      <c r="R23" s="16">
        <f>R17*Plans!$C$7</f>
        <v/>
      </c>
      <c r="S23" s="16">
        <f>S17*Plans!$C$7</f>
        <v/>
      </c>
      <c r="T23" s="16">
        <f>T17*Plans!$C$7</f>
        <v/>
      </c>
      <c r="U23" s="16">
        <f>U17*Plans!$C$7</f>
        <v/>
      </c>
      <c r="V23" s="16">
        <f>V17*Plans!$C$7</f>
        <v/>
      </c>
      <c r="W23" s="16">
        <f>W17*Plans!$C$7</f>
        <v/>
      </c>
      <c r="X23" s="16">
        <f>X17*Plans!$C$7</f>
        <v/>
      </c>
      <c r="Y23" s="16">
        <f>Y17*Plans!$C$7</f>
        <v/>
      </c>
    </row>
    <row r="24">
      <c r="A24" s="5" t="inlineStr">
        <is>
          <t>Revenue: Growth ₹</t>
        </is>
      </c>
      <c r="B24" s="16">
        <f>B18*Plans!$D$7</f>
        <v/>
      </c>
      <c r="C24" s="16">
        <f>C18*Plans!$D$7</f>
        <v/>
      </c>
      <c r="D24" s="16">
        <f>D18*Plans!$D$7</f>
        <v/>
      </c>
      <c r="E24" s="16">
        <f>E18*Plans!$D$7</f>
        <v/>
      </c>
      <c r="F24" s="16">
        <f>F18*Plans!$D$7</f>
        <v/>
      </c>
      <c r="G24" s="16">
        <f>G18*Plans!$D$7</f>
        <v/>
      </c>
      <c r="H24" s="16">
        <f>H18*Plans!$D$7</f>
        <v/>
      </c>
      <c r="I24" s="16">
        <f>I18*Plans!$D$7</f>
        <v/>
      </c>
      <c r="J24" s="16">
        <f>J18*Plans!$D$7</f>
        <v/>
      </c>
      <c r="K24" s="16">
        <f>K18*Plans!$D$7</f>
        <v/>
      </c>
      <c r="L24" s="16">
        <f>L18*Plans!$D$7</f>
        <v/>
      </c>
      <c r="M24" s="16">
        <f>M18*Plans!$D$7</f>
        <v/>
      </c>
      <c r="N24" s="16">
        <f>N18*Plans!$D$7</f>
        <v/>
      </c>
      <c r="O24" s="16">
        <f>O18*Plans!$D$7</f>
        <v/>
      </c>
      <c r="P24" s="16">
        <f>P18*Plans!$D$7</f>
        <v/>
      </c>
      <c r="Q24" s="16">
        <f>Q18*Plans!$D$7</f>
        <v/>
      </c>
      <c r="R24" s="16">
        <f>R18*Plans!$D$7</f>
        <v/>
      </c>
      <c r="S24" s="16">
        <f>S18*Plans!$D$7</f>
        <v/>
      </c>
      <c r="T24" s="16">
        <f>T18*Plans!$D$7</f>
        <v/>
      </c>
      <c r="U24" s="16">
        <f>U18*Plans!$D$7</f>
        <v/>
      </c>
      <c r="V24" s="16">
        <f>V18*Plans!$D$7</f>
        <v/>
      </c>
      <c r="W24" s="16">
        <f>W18*Plans!$D$7</f>
        <v/>
      </c>
      <c r="X24" s="16">
        <f>X18*Plans!$D$7</f>
        <v/>
      </c>
      <c r="Y24" s="16">
        <f>Y18*Plans!$D$7</f>
        <v/>
      </c>
    </row>
    <row r="25">
      <c r="A25" s="5" t="inlineStr">
        <is>
          <t>Revenue: Scale ₹</t>
        </is>
      </c>
      <c r="B25" s="16">
        <f>B19*Plans!$E$7</f>
        <v/>
      </c>
      <c r="C25" s="16">
        <f>C19*Plans!$E$7</f>
        <v/>
      </c>
      <c r="D25" s="16">
        <f>D19*Plans!$E$7</f>
        <v/>
      </c>
      <c r="E25" s="16">
        <f>E19*Plans!$E$7</f>
        <v/>
      </c>
      <c r="F25" s="16">
        <f>F19*Plans!$E$7</f>
        <v/>
      </c>
      <c r="G25" s="16">
        <f>G19*Plans!$E$7</f>
        <v/>
      </c>
      <c r="H25" s="16">
        <f>H19*Plans!$E$7</f>
        <v/>
      </c>
      <c r="I25" s="16">
        <f>I19*Plans!$E$7</f>
        <v/>
      </c>
      <c r="J25" s="16">
        <f>J19*Plans!$E$7</f>
        <v/>
      </c>
      <c r="K25" s="16">
        <f>K19*Plans!$E$7</f>
        <v/>
      </c>
      <c r="L25" s="16">
        <f>L19*Plans!$E$7</f>
        <v/>
      </c>
      <c r="M25" s="16">
        <f>M19*Plans!$E$7</f>
        <v/>
      </c>
      <c r="N25" s="16">
        <f>N19*Plans!$E$7</f>
        <v/>
      </c>
      <c r="O25" s="16">
        <f>O19*Plans!$E$7</f>
        <v/>
      </c>
      <c r="P25" s="16">
        <f>P19*Plans!$E$7</f>
        <v/>
      </c>
      <c r="Q25" s="16">
        <f>Q19*Plans!$E$7</f>
        <v/>
      </c>
      <c r="R25" s="16">
        <f>R19*Plans!$E$7</f>
        <v/>
      </c>
      <c r="S25" s="16">
        <f>S19*Plans!$E$7</f>
        <v/>
      </c>
      <c r="T25" s="16">
        <f>T19*Plans!$E$7</f>
        <v/>
      </c>
      <c r="U25" s="16">
        <f>U19*Plans!$E$7</f>
        <v/>
      </c>
      <c r="V25" s="16">
        <f>V19*Plans!$E$7</f>
        <v/>
      </c>
      <c r="W25" s="16">
        <f>W19*Plans!$E$7</f>
        <v/>
      </c>
      <c r="X25" s="16">
        <f>X19*Plans!$E$7</f>
        <v/>
      </c>
      <c r="Y25" s="16">
        <f>Y19*Plans!$E$7</f>
        <v/>
      </c>
    </row>
    <row r="26">
      <c r="A26" s="5" t="inlineStr">
        <is>
          <t>Revenue: champion accounts ₹</t>
        </is>
      </c>
      <c r="B26" s="16">
        <f>B20*Plans!$C$7</f>
        <v/>
      </c>
      <c r="C26" s="16">
        <f>C20*Plans!$C$7</f>
        <v/>
      </c>
      <c r="D26" s="16">
        <f>D20*Plans!$C$7</f>
        <v/>
      </c>
      <c r="E26" s="16">
        <f>E20*Plans!$C$7</f>
        <v/>
      </c>
      <c r="F26" s="16">
        <f>F20*Plans!$C$7</f>
        <v/>
      </c>
      <c r="G26" s="16">
        <f>G20*Plans!$C$7</f>
        <v/>
      </c>
      <c r="H26" s="16">
        <f>H20*Plans!$C$7</f>
        <v/>
      </c>
      <c r="I26" s="16">
        <f>I20*Plans!$C$7</f>
        <v/>
      </c>
      <c r="J26" s="16">
        <f>J20*Plans!$C$7</f>
        <v/>
      </c>
      <c r="K26" s="16">
        <f>K20*Plans!$C$7</f>
        <v/>
      </c>
      <c r="L26" s="16">
        <f>L20*Plans!$C$7</f>
        <v/>
      </c>
      <c r="M26" s="16">
        <f>M20*Plans!$C$7</f>
        <v/>
      </c>
      <c r="N26" s="16">
        <f>N20*Plans!$C$7</f>
        <v/>
      </c>
      <c r="O26" s="16">
        <f>O20*Plans!$C$7</f>
        <v/>
      </c>
      <c r="P26" s="16">
        <f>P20*Plans!$C$7</f>
        <v/>
      </c>
      <c r="Q26" s="16">
        <f>Q20*Plans!$C$7</f>
        <v/>
      </c>
      <c r="R26" s="16">
        <f>R20*Plans!$C$7</f>
        <v/>
      </c>
      <c r="S26" s="16">
        <f>S20*Plans!$C$7</f>
        <v/>
      </c>
      <c r="T26" s="16">
        <f>T20*Plans!$C$7</f>
        <v/>
      </c>
      <c r="U26" s="16">
        <f>U20*Plans!$C$7</f>
        <v/>
      </c>
      <c r="V26" s="16">
        <f>V20*Plans!$C$7</f>
        <v/>
      </c>
      <c r="W26" s="16">
        <f>W20*Plans!$C$7</f>
        <v/>
      </c>
      <c r="X26" s="16">
        <f>X20*Plans!$C$7</f>
        <v/>
      </c>
      <c r="Y26" s="16">
        <f>Y20*Plans!$C$7</f>
        <v/>
      </c>
    </row>
    <row r="27">
      <c r="A27" s="7" t="inlineStr">
        <is>
          <t>REVENUE ₹</t>
        </is>
      </c>
      <c r="B27" s="22">
        <f>SUM(B22:B26)</f>
        <v/>
      </c>
      <c r="C27" s="22">
        <f>SUM(C22:C26)</f>
        <v/>
      </c>
      <c r="D27" s="22">
        <f>SUM(D22:D26)</f>
        <v/>
      </c>
      <c r="E27" s="22">
        <f>SUM(E22:E26)</f>
        <v/>
      </c>
      <c r="F27" s="22">
        <f>SUM(F22:F26)</f>
        <v/>
      </c>
      <c r="G27" s="22">
        <f>SUM(G22:G26)</f>
        <v/>
      </c>
      <c r="H27" s="22">
        <f>SUM(H22:H26)</f>
        <v/>
      </c>
      <c r="I27" s="22">
        <f>SUM(I22:I26)</f>
        <v/>
      </c>
      <c r="J27" s="22">
        <f>SUM(J22:J26)</f>
        <v/>
      </c>
      <c r="K27" s="22">
        <f>SUM(K22:K26)</f>
        <v/>
      </c>
      <c r="L27" s="22">
        <f>SUM(L22:L26)</f>
        <v/>
      </c>
      <c r="M27" s="22">
        <f>SUM(M22:M26)</f>
        <v/>
      </c>
      <c r="N27" s="22">
        <f>SUM(N22:N26)</f>
        <v/>
      </c>
      <c r="O27" s="22">
        <f>SUM(O22:O26)</f>
        <v/>
      </c>
      <c r="P27" s="22">
        <f>SUM(P22:P26)</f>
        <v/>
      </c>
      <c r="Q27" s="22">
        <f>SUM(Q22:Q26)</f>
        <v/>
      </c>
      <c r="R27" s="22">
        <f>SUM(R22:R26)</f>
        <v/>
      </c>
      <c r="S27" s="22">
        <f>SUM(S22:S26)</f>
        <v/>
      </c>
      <c r="T27" s="22">
        <f>SUM(T22:T26)</f>
        <v/>
      </c>
      <c r="U27" s="22">
        <f>SUM(U22:U26)</f>
        <v/>
      </c>
      <c r="V27" s="22">
        <f>SUM(V22:V26)</f>
        <v/>
      </c>
      <c r="W27" s="22">
        <f>SUM(W22:W26)</f>
        <v/>
      </c>
      <c r="X27" s="22">
        <f>SUM(X22:X26)</f>
        <v/>
      </c>
      <c r="Y27" s="22">
        <f>SUM(Y22:Y26)</f>
        <v/>
      </c>
    </row>
    <row r="28">
      <c r="A28" s="5" t="inlineStr">
        <is>
          <t>Cost to serve: Everyday ₹</t>
        </is>
      </c>
      <c r="B28" s="16">
        <f>B16*Plans!$B$18</f>
        <v/>
      </c>
      <c r="C28" s="16">
        <f>C16*Plans!$B$18</f>
        <v/>
      </c>
      <c r="D28" s="16">
        <f>D16*Plans!$B$18</f>
        <v/>
      </c>
      <c r="E28" s="16">
        <f>E16*Plans!$B$18</f>
        <v/>
      </c>
      <c r="F28" s="16">
        <f>F16*Plans!$B$18</f>
        <v/>
      </c>
      <c r="G28" s="16">
        <f>G16*Plans!$B$18</f>
        <v/>
      </c>
      <c r="H28" s="16">
        <f>H16*Plans!$B$18</f>
        <v/>
      </c>
      <c r="I28" s="16">
        <f>I16*Plans!$B$18</f>
        <v/>
      </c>
      <c r="J28" s="16">
        <f>J16*Plans!$B$18</f>
        <v/>
      </c>
      <c r="K28" s="16">
        <f>K16*Plans!$B$18</f>
        <v/>
      </c>
      <c r="L28" s="16">
        <f>L16*Plans!$B$18</f>
        <v/>
      </c>
      <c r="M28" s="16">
        <f>M16*Plans!$B$18</f>
        <v/>
      </c>
      <c r="N28" s="16">
        <f>N16*Plans!$B$18</f>
        <v/>
      </c>
      <c r="O28" s="16">
        <f>O16*Plans!$B$18</f>
        <v/>
      </c>
      <c r="P28" s="16">
        <f>P16*Plans!$B$18</f>
        <v/>
      </c>
      <c r="Q28" s="16">
        <f>Q16*Plans!$B$18</f>
        <v/>
      </c>
      <c r="R28" s="16">
        <f>R16*Plans!$B$18</f>
        <v/>
      </c>
      <c r="S28" s="16">
        <f>S16*Plans!$B$18</f>
        <v/>
      </c>
      <c r="T28" s="16">
        <f>T16*Plans!$B$18</f>
        <v/>
      </c>
      <c r="U28" s="16">
        <f>U16*Plans!$B$18</f>
        <v/>
      </c>
      <c r="V28" s="16">
        <f>V16*Plans!$B$18</f>
        <v/>
      </c>
      <c r="W28" s="16">
        <f>W16*Plans!$B$18</f>
        <v/>
      </c>
      <c r="X28" s="16">
        <f>X16*Plans!$B$18</f>
        <v/>
      </c>
      <c r="Y28" s="16">
        <f>Y16*Plans!$B$18</f>
        <v/>
      </c>
    </row>
    <row r="29">
      <c r="A29" s="5" t="inlineStr">
        <is>
          <t>Cost to serve: Business ₹</t>
        </is>
      </c>
      <c r="B29" s="16">
        <f>B17*Plans!$C$18</f>
        <v/>
      </c>
      <c r="C29" s="16">
        <f>C17*Plans!$C$18</f>
        <v/>
      </c>
      <c r="D29" s="16">
        <f>D17*Plans!$C$18</f>
        <v/>
      </c>
      <c r="E29" s="16">
        <f>E17*Plans!$C$18</f>
        <v/>
      </c>
      <c r="F29" s="16">
        <f>F17*Plans!$C$18</f>
        <v/>
      </c>
      <c r="G29" s="16">
        <f>G17*Plans!$C$18</f>
        <v/>
      </c>
      <c r="H29" s="16">
        <f>H17*Plans!$C$18</f>
        <v/>
      </c>
      <c r="I29" s="16">
        <f>I17*Plans!$C$18</f>
        <v/>
      </c>
      <c r="J29" s="16">
        <f>J17*Plans!$C$18</f>
        <v/>
      </c>
      <c r="K29" s="16">
        <f>K17*Plans!$C$18</f>
        <v/>
      </c>
      <c r="L29" s="16">
        <f>L17*Plans!$C$18</f>
        <v/>
      </c>
      <c r="M29" s="16">
        <f>M17*Plans!$C$18</f>
        <v/>
      </c>
      <c r="N29" s="16">
        <f>N17*Plans!$C$18</f>
        <v/>
      </c>
      <c r="O29" s="16">
        <f>O17*Plans!$C$18</f>
        <v/>
      </c>
      <c r="P29" s="16">
        <f>P17*Plans!$C$18</f>
        <v/>
      </c>
      <c r="Q29" s="16">
        <f>Q17*Plans!$C$18</f>
        <v/>
      </c>
      <c r="R29" s="16">
        <f>R17*Plans!$C$18</f>
        <v/>
      </c>
      <c r="S29" s="16">
        <f>S17*Plans!$C$18</f>
        <v/>
      </c>
      <c r="T29" s="16">
        <f>T17*Plans!$C$18</f>
        <v/>
      </c>
      <c r="U29" s="16">
        <f>U17*Plans!$C$18</f>
        <v/>
      </c>
      <c r="V29" s="16">
        <f>V17*Plans!$C$18</f>
        <v/>
      </c>
      <c r="W29" s="16">
        <f>W17*Plans!$C$18</f>
        <v/>
      </c>
      <c r="X29" s="16">
        <f>X17*Plans!$C$18</f>
        <v/>
      </c>
      <c r="Y29" s="16">
        <f>Y17*Plans!$C$18</f>
        <v/>
      </c>
    </row>
    <row r="30">
      <c r="A30" s="5" t="inlineStr">
        <is>
          <t>Cost to serve: Growth ₹</t>
        </is>
      </c>
      <c r="B30" s="16">
        <f>B18*Plans!$D$18</f>
        <v/>
      </c>
      <c r="C30" s="16">
        <f>C18*Plans!$D$18</f>
        <v/>
      </c>
      <c r="D30" s="16">
        <f>D18*Plans!$D$18</f>
        <v/>
      </c>
      <c r="E30" s="16">
        <f>E18*Plans!$D$18</f>
        <v/>
      </c>
      <c r="F30" s="16">
        <f>F18*Plans!$D$18</f>
        <v/>
      </c>
      <c r="G30" s="16">
        <f>G18*Plans!$D$18</f>
        <v/>
      </c>
      <c r="H30" s="16">
        <f>H18*Plans!$D$18</f>
        <v/>
      </c>
      <c r="I30" s="16">
        <f>I18*Plans!$D$18</f>
        <v/>
      </c>
      <c r="J30" s="16">
        <f>J18*Plans!$D$18</f>
        <v/>
      </c>
      <c r="K30" s="16">
        <f>K18*Plans!$D$18</f>
        <v/>
      </c>
      <c r="L30" s="16">
        <f>L18*Plans!$D$18</f>
        <v/>
      </c>
      <c r="M30" s="16">
        <f>M18*Plans!$D$18</f>
        <v/>
      </c>
      <c r="N30" s="16">
        <f>N18*Plans!$D$18</f>
        <v/>
      </c>
      <c r="O30" s="16">
        <f>O18*Plans!$D$18</f>
        <v/>
      </c>
      <c r="P30" s="16">
        <f>P18*Plans!$D$18</f>
        <v/>
      </c>
      <c r="Q30" s="16">
        <f>Q18*Plans!$D$18</f>
        <v/>
      </c>
      <c r="R30" s="16">
        <f>R18*Plans!$D$18</f>
        <v/>
      </c>
      <c r="S30" s="16">
        <f>S18*Plans!$D$18</f>
        <v/>
      </c>
      <c r="T30" s="16">
        <f>T18*Plans!$D$18</f>
        <v/>
      </c>
      <c r="U30" s="16">
        <f>U18*Plans!$D$18</f>
        <v/>
      </c>
      <c r="V30" s="16">
        <f>V18*Plans!$D$18</f>
        <v/>
      </c>
      <c r="W30" s="16">
        <f>W18*Plans!$D$18</f>
        <v/>
      </c>
      <c r="X30" s="16">
        <f>X18*Plans!$D$18</f>
        <v/>
      </c>
      <c r="Y30" s="16">
        <f>Y18*Plans!$D$18</f>
        <v/>
      </c>
    </row>
    <row r="31">
      <c r="A31" s="5" t="inlineStr">
        <is>
          <t>Cost to serve: Scale ₹</t>
        </is>
      </c>
      <c r="B31" s="16">
        <f>B19*Plans!$E$18</f>
        <v/>
      </c>
      <c r="C31" s="16">
        <f>C19*Plans!$E$18</f>
        <v/>
      </c>
      <c r="D31" s="16">
        <f>D19*Plans!$E$18</f>
        <v/>
      </c>
      <c r="E31" s="16">
        <f>E19*Plans!$E$18</f>
        <v/>
      </c>
      <c r="F31" s="16">
        <f>F19*Plans!$E$18</f>
        <v/>
      </c>
      <c r="G31" s="16">
        <f>G19*Plans!$E$18</f>
        <v/>
      </c>
      <c r="H31" s="16">
        <f>H19*Plans!$E$18</f>
        <v/>
      </c>
      <c r="I31" s="16">
        <f>I19*Plans!$E$18</f>
        <v/>
      </c>
      <c r="J31" s="16">
        <f>J19*Plans!$E$18</f>
        <v/>
      </c>
      <c r="K31" s="16">
        <f>K19*Plans!$E$18</f>
        <v/>
      </c>
      <c r="L31" s="16">
        <f>L19*Plans!$E$18</f>
        <v/>
      </c>
      <c r="M31" s="16">
        <f>M19*Plans!$E$18</f>
        <v/>
      </c>
      <c r="N31" s="16">
        <f>N19*Plans!$E$18</f>
        <v/>
      </c>
      <c r="O31" s="16">
        <f>O19*Plans!$E$18</f>
        <v/>
      </c>
      <c r="P31" s="16">
        <f>P19*Plans!$E$18</f>
        <v/>
      </c>
      <c r="Q31" s="16">
        <f>Q19*Plans!$E$18</f>
        <v/>
      </c>
      <c r="R31" s="16">
        <f>R19*Plans!$E$18</f>
        <v/>
      </c>
      <c r="S31" s="16">
        <f>S19*Plans!$E$18</f>
        <v/>
      </c>
      <c r="T31" s="16">
        <f>T19*Plans!$E$18</f>
        <v/>
      </c>
      <c r="U31" s="16">
        <f>U19*Plans!$E$18</f>
        <v/>
      </c>
      <c r="V31" s="16">
        <f>V19*Plans!$E$18</f>
        <v/>
      </c>
      <c r="W31" s="16">
        <f>W19*Plans!$E$18</f>
        <v/>
      </c>
      <c r="X31" s="16">
        <f>X19*Plans!$E$18</f>
        <v/>
      </c>
      <c r="Y31" s="16">
        <f>Y19*Plans!$E$18</f>
        <v/>
      </c>
    </row>
    <row r="32">
      <c r="A32" s="5" t="inlineStr">
        <is>
          <t>Cost to serve: champion accounts ₹</t>
        </is>
      </c>
      <c r="B32" s="16">
        <f>B20*Plans!$C$18</f>
        <v/>
      </c>
      <c r="C32" s="16">
        <f>C20*Plans!$C$18</f>
        <v/>
      </c>
      <c r="D32" s="16">
        <f>D20*Plans!$C$18</f>
        <v/>
      </c>
      <c r="E32" s="16">
        <f>E20*Plans!$C$18</f>
        <v/>
      </c>
      <c r="F32" s="16">
        <f>F20*Plans!$C$18</f>
        <v/>
      </c>
      <c r="G32" s="16">
        <f>G20*Plans!$C$18</f>
        <v/>
      </c>
      <c r="H32" s="16">
        <f>H20*Plans!$C$18</f>
        <v/>
      </c>
      <c r="I32" s="16">
        <f>I20*Plans!$C$18</f>
        <v/>
      </c>
      <c r="J32" s="16">
        <f>J20*Plans!$C$18</f>
        <v/>
      </c>
      <c r="K32" s="16">
        <f>K20*Plans!$C$18</f>
        <v/>
      </c>
      <c r="L32" s="16">
        <f>L20*Plans!$C$18</f>
        <v/>
      </c>
      <c r="M32" s="16">
        <f>M20*Plans!$C$18</f>
        <v/>
      </c>
      <c r="N32" s="16">
        <f>N20*Plans!$C$18</f>
        <v/>
      </c>
      <c r="O32" s="16">
        <f>O20*Plans!$C$18</f>
        <v/>
      </c>
      <c r="P32" s="16">
        <f>P20*Plans!$C$18</f>
        <v/>
      </c>
      <c r="Q32" s="16">
        <f>Q20*Plans!$C$18</f>
        <v/>
      </c>
      <c r="R32" s="16">
        <f>R20*Plans!$C$18</f>
        <v/>
      </c>
      <c r="S32" s="16">
        <f>S20*Plans!$C$18</f>
        <v/>
      </c>
      <c r="T32" s="16">
        <f>T20*Plans!$C$18</f>
        <v/>
      </c>
      <c r="U32" s="16">
        <f>U20*Plans!$C$18</f>
        <v/>
      </c>
      <c r="V32" s="16">
        <f>V20*Plans!$C$18</f>
        <v/>
      </c>
      <c r="W32" s="16">
        <f>W20*Plans!$C$18</f>
        <v/>
      </c>
      <c r="X32" s="16">
        <f>X20*Plans!$C$18</f>
        <v/>
      </c>
      <c r="Y32" s="16">
        <f>Y20*Plans!$C$18</f>
        <v/>
      </c>
    </row>
    <row r="33">
      <c r="A33" s="5" t="inlineStr">
        <is>
          <t>Cost to serve before Sarvam credit ₹</t>
        </is>
      </c>
      <c r="B33" s="16">
        <f>SUM(B28:B32)</f>
        <v/>
      </c>
      <c r="C33" s="16">
        <f>SUM(C28:C32)</f>
        <v/>
      </c>
      <c r="D33" s="16">
        <f>SUM(D28:D32)</f>
        <v/>
      </c>
      <c r="E33" s="16">
        <f>SUM(E28:E32)</f>
        <v/>
      </c>
      <c r="F33" s="16">
        <f>SUM(F28:F32)</f>
        <v/>
      </c>
      <c r="G33" s="16">
        <f>SUM(G28:G32)</f>
        <v/>
      </c>
      <c r="H33" s="16">
        <f>SUM(H28:H32)</f>
        <v/>
      </c>
      <c r="I33" s="16">
        <f>SUM(I28:I32)</f>
        <v/>
      </c>
      <c r="J33" s="16">
        <f>SUM(J28:J32)</f>
        <v/>
      </c>
      <c r="K33" s="16">
        <f>SUM(K28:K32)</f>
        <v/>
      </c>
      <c r="L33" s="16">
        <f>SUM(L28:L32)</f>
        <v/>
      </c>
      <c r="M33" s="16">
        <f>SUM(M28:M32)</f>
        <v/>
      </c>
      <c r="N33" s="16">
        <f>SUM(N28:N32)</f>
        <v/>
      </c>
      <c r="O33" s="16">
        <f>SUM(O28:O32)</f>
        <v/>
      </c>
      <c r="P33" s="16">
        <f>SUM(P28:P32)</f>
        <v/>
      </c>
      <c r="Q33" s="16">
        <f>SUM(Q28:Q32)</f>
        <v/>
      </c>
      <c r="R33" s="16">
        <f>SUM(R28:R32)</f>
        <v/>
      </c>
      <c r="S33" s="16">
        <f>SUM(S28:S32)</f>
        <v/>
      </c>
      <c r="T33" s="16">
        <f>SUM(T28:T32)</f>
        <v/>
      </c>
      <c r="U33" s="16">
        <f>SUM(U28:U32)</f>
        <v/>
      </c>
      <c r="V33" s="16">
        <f>SUM(V28:V32)</f>
        <v/>
      </c>
      <c r="W33" s="16">
        <f>SUM(W28:W32)</f>
        <v/>
      </c>
      <c r="X33" s="16">
        <f>SUM(X28:X32)</f>
        <v/>
      </c>
      <c r="Y33" s="16">
        <f>SUM(Y28:Y32)</f>
        <v/>
      </c>
    </row>
    <row r="34">
      <c r="A34" s="5" t="inlineStr">
        <is>
          <t>Sarvam free credit applied ₹</t>
        </is>
      </c>
      <c r="B34" s="16">
        <f>IF(B5&lt;=Assumptions!$B$52,MIN(Assumptions!$B$51,(B17*Plans!$C$12+B18*Plans!$D$12+B19*Plans!$E$12+B20*Plans!$C$12)*Assumptions!$B$53),0)</f>
        <v/>
      </c>
      <c r="C34" s="16">
        <f>IF(C5&lt;=Assumptions!$B$52,MIN(Assumptions!$B$51,(C17*Plans!$C$12+C18*Plans!$D$12+C19*Plans!$E$12+C20*Plans!$C$12)*Assumptions!$B$53),0)</f>
        <v/>
      </c>
      <c r="D34" s="16">
        <f>IF(D5&lt;=Assumptions!$B$52,MIN(Assumptions!$B$51,(D17*Plans!$C$12+D18*Plans!$D$12+D19*Plans!$E$12+D20*Plans!$C$12)*Assumptions!$B$53),0)</f>
        <v/>
      </c>
      <c r="E34" s="16">
        <f>IF(E5&lt;=Assumptions!$B$52,MIN(Assumptions!$B$51,(E17*Plans!$C$12+E18*Plans!$D$12+E19*Plans!$E$12+E20*Plans!$C$12)*Assumptions!$B$53),0)</f>
        <v/>
      </c>
      <c r="F34" s="16">
        <f>IF(F5&lt;=Assumptions!$B$52,MIN(Assumptions!$B$51,(F17*Plans!$C$12+F18*Plans!$D$12+F19*Plans!$E$12+F20*Plans!$C$12)*Assumptions!$B$53),0)</f>
        <v/>
      </c>
      <c r="G34" s="16">
        <f>IF(G5&lt;=Assumptions!$B$52,MIN(Assumptions!$B$51,(G17*Plans!$C$12+G18*Plans!$D$12+G19*Plans!$E$12+G20*Plans!$C$12)*Assumptions!$B$53),0)</f>
        <v/>
      </c>
      <c r="H34" s="16">
        <f>IF(H5&lt;=Assumptions!$B$52,MIN(Assumptions!$B$51,(H17*Plans!$C$12+H18*Plans!$D$12+H19*Plans!$E$12+H20*Plans!$C$12)*Assumptions!$B$53),0)</f>
        <v/>
      </c>
      <c r="I34" s="16">
        <f>IF(I5&lt;=Assumptions!$B$52,MIN(Assumptions!$B$51,(I17*Plans!$C$12+I18*Plans!$D$12+I19*Plans!$E$12+I20*Plans!$C$12)*Assumptions!$B$53),0)</f>
        <v/>
      </c>
      <c r="J34" s="16">
        <f>IF(J5&lt;=Assumptions!$B$52,MIN(Assumptions!$B$51,(J17*Plans!$C$12+J18*Plans!$D$12+J19*Plans!$E$12+J20*Plans!$C$12)*Assumptions!$B$53),0)</f>
        <v/>
      </c>
      <c r="K34" s="16">
        <f>IF(K5&lt;=Assumptions!$B$52,MIN(Assumptions!$B$51,(K17*Plans!$C$12+K18*Plans!$D$12+K19*Plans!$E$12+K20*Plans!$C$12)*Assumptions!$B$53),0)</f>
        <v/>
      </c>
      <c r="L34" s="16">
        <f>IF(L5&lt;=Assumptions!$B$52,MIN(Assumptions!$B$51,(L17*Plans!$C$12+L18*Plans!$D$12+L19*Plans!$E$12+L20*Plans!$C$12)*Assumptions!$B$53),0)</f>
        <v/>
      </c>
      <c r="M34" s="16">
        <f>IF(M5&lt;=Assumptions!$B$52,MIN(Assumptions!$B$51,(M17*Plans!$C$12+M18*Plans!$D$12+M19*Plans!$E$12+M20*Plans!$C$12)*Assumptions!$B$53),0)</f>
        <v/>
      </c>
      <c r="N34" s="16">
        <f>IF(N5&lt;=Assumptions!$B$52,MIN(Assumptions!$B$51,(N17*Plans!$C$12+N18*Plans!$D$12+N19*Plans!$E$12+N20*Plans!$C$12)*Assumptions!$B$53),0)</f>
        <v/>
      </c>
      <c r="O34" s="16">
        <f>IF(O5&lt;=Assumptions!$B$52,MIN(Assumptions!$B$51,(O17*Plans!$C$12+O18*Plans!$D$12+O19*Plans!$E$12+O20*Plans!$C$12)*Assumptions!$B$53),0)</f>
        <v/>
      </c>
      <c r="P34" s="16">
        <f>IF(P5&lt;=Assumptions!$B$52,MIN(Assumptions!$B$51,(P17*Plans!$C$12+P18*Plans!$D$12+P19*Plans!$E$12+P20*Plans!$C$12)*Assumptions!$B$53),0)</f>
        <v/>
      </c>
      <c r="Q34" s="16">
        <f>IF(Q5&lt;=Assumptions!$B$52,MIN(Assumptions!$B$51,(Q17*Plans!$C$12+Q18*Plans!$D$12+Q19*Plans!$E$12+Q20*Plans!$C$12)*Assumptions!$B$53),0)</f>
        <v/>
      </c>
      <c r="R34" s="16">
        <f>IF(R5&lt;=Assumptions!$B$52,MIN(Assumptions!$B$51,(R17*Plans!$C$12+R18*Plans!$D$12+R19*Plans!$E$12+R20*Plans!$C$12)*Assumptions!$B$53),0)</f>
        <v/>
      </c>
      <c r="S34" s="16">
        <f>IF(S5&lt;=Assumptions!$B$52,MIN(Assumptions!$B$51,(S17*Plans!$C$12+S18*Plans!$D$12+S19*Plans!$E$12+S20*Plans!$C$12)*Assumptions!$B$53),0)</f>
        <v/>
      </c>
      <c r="T34" s="16">
        <f>IF(T5&lt;=Assumptions!$B$52,MIN(Assumptions!$B$51,(T17*Plans!$C$12+T18*Plans!$D$12+T19*Plans!$E$12+T20*Plans!$C$12)*Assumptions!$B$53),0)</f>
        <v/>
      </c>
      <c r="U34" s="16">
        <f>IF(U5&lt;=Assumptions!$B$52,MIN(Assumptions!$B$51,(U17*Plans!$C$12+U18*Plans!$D$12+U19*Plans!$E$12+U20*Plans!$C$12)*Assumptions!$B$53),0)</f>
        <v/>
      </c>
      <c r="V34" s="16">
        <f>IF(V5&lt;=Assumptions!$B$52,MIN(Assumptions!$B$51,(V17*Plans!$C$12+V18*Plans!$D$12+V19*Plans!$E$12+V20*Plans!$C$12)*Assumptions!$B$53),0)</f>
        <v/>
      </c>
      <c r="W34" s="16">
        <f>IF(W5&lt;=Assumptions!$B$52,MIN(Assumptions!$B$51,(W17*Plans!$C$12+W18*Plans!$D$12+W19*Plans!$E$12+W20*Plans!$C$12)*Assumptions!$B$53),0)</f>
        <v/>
      </c>
      <c r="X34" s="16">
        <f>IF(X5&lt;=Assumptions!$B$52,MIN(Assumptions!$B$51,(X17*Plans!$C$12+X18*Plans!$D$12+X19*Plans!$E$12+X20*Plans!$C$12)*Assumptions!$B$53),0)</f>
        <v/>
      </c>
      <c r="Y34" s="16">
        <f>IF(Y5&lt;=Assumptions!$B$52,MIN(Assumptions!$B$51,(Y17*Plans!$C$12+Y18*Plans!$D$12+Y19*Plans!$E$12+Y20*Plans!$C$12)*Assumptions!$B$53),0)</f>
        <v/>
      </c>
    </row>
    <row r="35">
      <c r="A35" s="7" t="inlineStr">
        <is>
          <t>COST TO SERVE ₹</t>
        </is>
      </c>
      <c r="B35" s="22">
        <f>B33-B34</f>
        <v/>
      </c>
      <c r="C35" s="22">
        <f>C33-C34</f>
        <v/>
      </c>
      <c r="D35" s="22">
        <f>D33-D34</f>
        <v/>
      </c>
      <c r="E35" s="22">
        <f>E33-E34</f>
        <v/>
      </c>
      <c r="F35" s="22">
        <f>F33-F34</f>
        <v/>
      </c>
      <c r="G35" s="22">
        <f>G33-G34</f>
        <v/>
      </c>
      <c r="H35" s="22">
        <f>H33-H34</f>
        <v/>
      </c>
      <c r="I35" s="22">
        <f>I33-I34</f>
        <v/>
      </c>
      <c r="J35" s="22">
        <f>J33-J34</f>
        <v/>
      </c>
      <c r="K35" s="22">
        <f>K33-K34</f>
        <v/>
      </c>
      <c r="L35" s="22">
        <f>L33-L34</f>
        <v/>
      </c>
      <c r="M35" s="22">
        <f>M33-M34</f>
        <v/>
      </c>
      <c r="N35" s="22">
        <f>N33-N34</f>
        <v/>
      </c>
      <c r="O35" s="22">
        <f>O33-O34</f>
        <v/>
      </c>
      <c r="P35" s="22">
        <f>P33-P34</f>
        <v/>
      </c>
      <c r="Q35" s="22">
        <f>Q33-Q34</f>
        <v/>
      </c>
      <c r="R35" s="22">
        <f>R33-R34</f>
        <v/>
      </c>
      <c r="S35" s="22">
        <f>S33-S34</f>
        <v/>
      </c>
      <c r="T35" s="22">
        <f>T33-T34</f>
        <v/>
      </c>
      <c r="U35" s="22">
        <f>U33-U34</f>
        <v/>
      </c>
      <c r="V35" s="22">
        <f>V33-V34</f>
        <v/>
      </c>
      <c r="W35" s="22">
        <f>W33-W34</f>
        <v/>
      </c>
      <c r="X35" s="22">
        <f>X33-X34</f>
        <v/>
      </c>
      <c r="Y35" s="22">
        <f>Y33-Y34</f>
        <v/>
      </c>
    </row>
    <row r="36">
      <c r="A36" s="7" t="inlineStr">
        <is>
          <t>GROSS PROFIT ₹</t>
        </is>
      </c>
      <c r="B36" s="22">
        <f>B27-B35</f>
        <v/>
      </c>
      <c r="C36" s="22">
        <f>C27-C35</f>
        <v/>
      </c>
      <c r="D36" s="22">
        <f>D27-D35</f>
        <v/>
      </c>
      <c r="E36" s="22">
        <f>E27-E35</f>
        <v/>
      </c>
      <c r="F36" s="22">
        <f>F27-F35</f>
        <v/>
      </c>
      <c r="G36" s="22">
        <f>G27-G35</f>
        <v/>
      </c>
      <c r="H36" s="22">
        <f>H27-H35</f>
        <v/>
      </c>
      <c r="I36" s="22">
        <f>I27-I35</f>
        <v/>
      </c>
      <c r="J36" s="22">
        <f>J27-J35</f>
        <v/>
      </c>
      <c r="K36" s="22">
        <f>K27-K35</f>
        <v/>
      </c>
      <c r="L36" s="22">
        <f>L27-L35</f>
        <v/>
      </c>
      <c r="M36" s="22">
        <f>M27-M35</f>
        <v/>
      </c>
      <c r="N36" s="22">
        <f>N27-N35</f>
        <v/>
      </c>
      <c r="O36" s="22">
        <f>O27-O35</f>
        <v/>
      </c>
      <c r="P36" s="22">
        <f>P27-P35</f>
        <v/>
      </c>
      <c r="Q36" s="22">
        <f>Q27-Q35</f>
        <v/>
      </c>
      <c r="R36" s="22">
        <f>R27-R35</f>
        <v/>
      </c>
      <c r="S36" s="22">
        <f>S27-S35</f>
        <v/>
      </c>
      <c r="T36" s="22">
        <f>T27-T35</f>
        <v/>
      </c>
      <c r="U36" s="22">
        <f>U27-U35</f>
        <v/>
      </c>
      <c r="V36" s="22">
        <f>V27-V35</f>
        <v/>
      </c>
      <c r="W36" s="22">
        <f>W27-W35</f>
        <v/>
      </c>
      <c r="X36" s="22">
        <f>X27-X35</f>
        <v/>
      </c>
      <c r="Y36" s="22">
        <f>Y27-Y35</f>
        <v/>
      </c>
    </row>
    <row r="37">
      <c r="A37" s="5" t="inlineStr">
        <is>
          <t>Gross margin %</t>
        </is>
      </c>
      <c r="B37" s="18">
        <f>IF(B27=0,0,B36/B27)</f>
        <v/>
      </c>
      <c r="C37" s="18">
        <f>IF(C27=0,0,C36/C27)</f>
        <v/>
      </c>
      <c r="D37" s="18">
        <f>IF(D27=0,0,D36/D27)</f>
        <v/>
      </c>
      <c r="E37" s="18">
        <f>IF(E27=0,0,E36/E27)</f>
        <v/>
      </c>
      <c r="F37" s="18">
        <f>IF(F27=0,0,F36/F27)</f>
        <v/>
      </c>
      <c r="G37" s="18">
        <f>IF(G27=0,0,G36/G27)</f>
        <v/>
      </c>
      <c r="H37" s="18">
        <f>IF(H27=0,0,H36/H27)</f>
        <v/>
      </c>
      <c r="I37" s="18">
        <f>IF(I27=0,0,I36/I27)</f>
        <v/>
      </c>
      <c r="J37" s="18">
        <f>IF(J27=0,0,J36/J27)</f>
        <v/>
      </c>
      <c r="K37" s="18">
        <f>IF(K27=0,0,K36/K27)</f>
        <v/>
      </c>
      <c r="L37" s="18">
        <f>IF(L27=0,0,L36/L27)</f>
        <v/>
      </c>
      <c r="M37" s="18">
        <f>IF(M27=0,0,M36/M27)</f>
        <v/>
      </c>
      <c r="N37" s="18">
        <f>IF(N27=0,0,N36/N27)</f>
        <v/>
      </c>
      <c r="O37" s="18">
        <f>IF(O27=0,0,O36/O27)</f>
        <v/>
      </c>
      <c r="P37" s="18">
        <f>IF(P27=0,0,P36/P27)</f>
        <v/>
      </c>
      <c r="Q37" s="18">
        <f>IF(Q27=0,0,Q36/Q27)</f>
        <v/>
      </c>
      <c r="R37" s="18">
        <f>IF(R27=0,0,R36/R27)</f>
        <v/>
      </c>
      <c r="S37" s="18">
        <f>IF(S27=0,0,S36/S27)</f>
        <v/>
      </c>
      <c r="T37" s="18">
        <f>IF(T27=0,0,T36/T27)</f>
        <v/>
      </c>
      <c r="U37" s="18">
        <f>IF(U27=0,0,U36/U27)</f>
        <v/>
      </c>
      <c r="V37" s="18">
        <f>IF(V27=0,0,V36/V27)</f>
        <v/>
      </c>
      <c r="W37" s="18">
        <f>IF(W27=0,0,W36/W27)</f>
        <v/>
      </c>
      <c r="X37" s="18">
        <f>IF(X27=0,0,X36/X27)</f>
        <v/>
      </c>
      <c r="Y37" s="18">
        <f>IF(Y27=0,0,Y36/Y27)</f>
        <v/>
      </c>
    </row>
    <row r="38">
      <c r="A38" s="5" t="inlineStr">
        <is>
          <t>Voice minutes this month</t>
        </is>
      </c>
      <c r="B38" s="17">
        <f>B17*Plans!$C$11+B18*Plans!$D$11+B19*Plans!$E$11+B20*Plans!$C$11</f>
        <v/>
      </c>
      <c r="C38" s="17">
        <f>C17*Plans!$C$11+C18*Plans!$D$11+C19*Plans!$E$11+C20*Plans!$C$11</f>
        <v/>
      </c>
      <c r="D38" s="17">
        <f>D17*Plans!$C$11+D18*Plans!$D$11+D19*Plans!$E$11+D20*Plans!$C$11</f>
        <v/>
      </c>
      <c r="E38" s="17">
        <f>E17*Plans!$C$11+E18*Plans!$D$11+E19*Plans!$E$11+E20*Plans!$C$11</f>
        <v/>
      </c>
      <c r="F38" s="17">
        <f>F17*Plans!$C$11+F18*Plans!$D$11+F19*Plans!$E$11+F20*Plans!$C$11</f>
        <v/>
      </c>
      <c r="G38" s="17">
        <f>G17*Plans!$C$11+G18*Plans!$D$11+G19*Plans!$E$11+G20*Plans!$C$11</f>
        <v/>
      </c>
      <c r="H38" s="17">
        <f>H17*Plans!$C$11+H18*Plans!$D$11+H19*Plans!$E$11+H20*Plans!$C$11</f>
        <v/>
      </c>
      <c r="I38" s="17">
        <f>I17*Plans!$C$11+I18*Plans!$D$11+I19*Plans!$E$11+I20*Plans!$C$11</f>
        <v/>
      </c>
      <c r="J38" s="17">
        <f>J17*Plans!$C$11+J18*Plans!$D$11+J19*Plans!$E$11+J20*Plans!$C$11</f>
        <v/>
      </c>
      <c r="K38" s="17">
        <f>K17*Plans!$C$11+K18*Plans!$D$11+K19*Plans!$E$11+K20*Plans!$C$11</f>
        <v/>
      </c>
      <c r="L38" s="17">
        <f>L17*Plans!$C$11+L18*Plans!$D$11+L19*Plans!$E$11+L20*Plans!$C$11</f>
        <v/>
      </c>
      <c r="M38" s="17">
        <f>M17*Plans!$C$11+M18*Plans!$D$11+M19*Plans!$E$11+M20*Plans!$C$11</f>
        <v/>
      </c>
      <c r="N38" s="17">
        <f>N17*Plans!$C$11+N18*Plans!$D$11+N19*Plans!$E$11+N20*Plans!$C$11</f>
        <v/>
      </c>
      <c r="O38" s="17">
        <f>O17*Plans!$C$11+O18*Plans!$D$11+O19*Plans!$E$11+O20*Plans!$C$11</f>
        <v/>
      </c>
      <c r="P38" s="17">
        <f>P17*Plans!$C$11+P18*Plans!$D$11+P19*Plans!$E$11+P20*Plans!$C$11</f>
        <v/>
      </c>
      <c r="Q38" s="17">
        <f>Q17*Plans!$C$11+Q18*Plans!$D$11+Q19*Plans!$E$11+Q20*Plans!$C$11</f>
        <v/>
      </c>
      <c r="R38" s="17">
        <f>R17*Plans!$C$11+R18*Plans!$D$11+R19*Plans!$E$11+R20*Plans!$C$11</f>
        <v/>
      </c>
      <c r="S38" s="17">
        <f>S17*Plans!$C$11+S18*Plans!$D$11+S19*Plans!$E$11+S20*Plans!$C$11</f>
        <v/>
      </c>
      <c r="T38" s="17">
        <f>T17*Plans!$C$11+T18*Plans!$D$11+T19*Plans!$E$11+T20*Plans!$C$11</f>
        <v/>
      </c>
      <c r="U38" s="17">
        <f>U17*Plans!$C$11+U18*Plans!$D$11+U19*Plans!$E$11+U20*Plans!$C$11</f>
        <v/>
      </c>
      <c r="V38" s="17">
        <f>V17*Plans!$C$11+V18*Plans!$D$11+V19*Plans!$E$11+V20*Plans!$C$11</f>
        <v/>
      </c>
      <c r="W38" s="17">
        <f>W17*Plans!$C$11+W18*Plans!$D$11+W19*Plans!$E$11+W20*Plans!$C$11</f>
        <v/>
      </c>
      <c r="X38" s="17">
        <f>X17*Plans!$C$11+X18*Plans!$D$11+X19*Plans!$E$11+X20*Plans!$C$11</f>
        <v/>
      </c>
      <c r="Y38" s="17">
        <f>Y17*Plans!$C$11+Y18*Plans!$D$11+Y19*Plans!$E$11+Y20*Plans!$C$11</f>
        <v/>
      </c>
    </row>
    <row r="39">
      <c r="A39" s="5" t="inlineStr">
        <is>
          <t>Infrastructure ₹ (auto-scaled by minutes)</t>
        </is>
      </c>
      <c r="B39" s="16">
        <f>IF(B38&lt;=Assumptions!$B$88,Assumptions!$B$84,IF(B38&lt;=Assumptions!$B$89,Assumptions!$B$85,IF(B38&lt;=Assumptions!$B$90,Assumptions!$B$86,Assumptions!$B$86+Assumptions!$B$87*(B38-Assumptions!$B$90)/1000000)))</f>
        <v/>
      </c>
      <c r="C39" s="16">
        <f>IF(C38&lt;=Assumptions!$B$88,Assumptions!$B$84,IF(C38&lt;=Assumptions!$B$89,Assumptions!$B$85,IF(C38&lt;=Assumptions!$B$90,Assumptions!$B$86,Assumptions!$B$86+Assumptions!$B$87*(C38-Assumptions!$B$90)/1000000)))</f>
        <v/>
      </c>
      <c r="D39" s="16">
        <f>IF(D38&lt;=Assumptions!$B$88,Assumptions!$B$84,IF(D38&lt;=Assumptions!$B$89,Assumptions!$B$85,IF(D38&lt;=Assumptions!$B$90,Assumptions!$B$86,Assumptions!$B$86+Assumptions!$B$87*(D38-Assumptions!$B$90)/1000000)))</f>
        <v/>
      </c>
      <c r="E39" s="16">
        <f>IF(E38&lt;=Assumptions!$B$88,Assumptions!$B$84,IF(E38&lt;=Assumptions!$B$89,Assumptions!$B$85,IF(E38&lt;=Assumptions!$B$90,Assumptions!$B$86,Assumptions!$B$86+Assumptions!$B$87*(E38-Assumptions!$B$90)/1000000)))</f>
        <v/>
      </c>
      <c r="F39" s="16">
        <f>IF(F38&lt;=Assumptions!$B$88,Assumptions!$B$84,IF(F38&lt;=Assumptions!$B$89,Assumptions!$B$85,IF(F38&lt;=Assumptions!$B$90,Assumptions!$B$86,Assumptions!$B$86+Assumptions!$B$87*(F38-Assumptions!$B$90)/1000000)))</f>
        <v/>
      </c>
      <c r="G39" s="16">
        <f>IF(G38&lt;=Assumptions!$B$88,Assumptions!$B$84,IF(G38&lt;=Assumptions!$B$89,Assumptions!$B$85,IF(G38&lt;=Assumptions!$B$90,Assumptions!$B$86,Assumptions!$B$86+Assumptions!$B$87*(G38-Assumptions!$B$90)/1000000)))</f>
        <v/>
      </c>
      <c r="H39" s="16">
        <f>IF(H38&lt;=Assumptions!$B$88,Assumptions!$B$84,IF(H38&lt;=Assumptions!$B$89,Assumptions!$B$85,IF(H38&lt;=Assumptions!$B$90,Assumptions!$B$86,Assumptions!$B$86+Assumptions!$B$87*(H38-Assumptions!$B$90)/1000000)))</f>
        <v/>
      </c>
      <c r="I39" s="16">
        <f>IF(I38&lt;=Assumptions!$B$88,Assumptions!$B$84,IF(I38&lt;=Assumptions!$B$89,Assumptions!$B$85,IF(I38&lt;=Assumptions!$B$90,Assumptions!$B$86,Assumptions!$B$86+Assumptions!$B$87*(I38-Assumptions!$B$90)/1000000)))</f>
        <v/>
      </c>
      <c r="J39" s="16">
        <f>IF(J38&lt;=Assumptions!$B$88,Assumptions!$B$84,IF(J38&lt;=Assumptions!$B$89,Assumptions!$B$85,IF(J38&lt;=Assumptions!$B$90,Assumptions!$B$86,Assumptions!$B$86+Assumptions!$B$87*(J38-Assumptions!$B$90)/1000000)))</f>
        <v/>
      </c>
      <c r="K39" s="16">
        <f>IF(K38&lt;=Assumptions!$B$88,Assumptions!$B$84,IF(K38&lt;=Assumptions!$B$89,Assumptions!$B$85,IF(K38&lt;=Assumptions!$B$90,Assumptions!$B$86,Assumptions!$B$86+Assumptions!$B$87*(K38-Assumptions!$B$90)/1000000)))</f>
        <v/>
      </c>
      <c r="L39" s="16">
        <f>IF(L38&lt;=Assumptions!$B$88,Assumptions!$B$84,IF(L38&lt;=Assumptions!$B$89,Assumptions!$B$85,IF(L38&lt;=Assumptions!$B$90,Assumptions!$B$86,Assumptions!$B$86+Assumptions!$B$87*(L38-Assumptions!$B$90)/1000000)))</f>
        <v/>
      </c>
      <c r="M39" s="16">
        <f>IF(M38&lt;=Assumptions!$B$88,Assumptions!$B$84,IF(M38&lt;=Assumptions!$B$89,Assumptions!$B$85,IF(M38&lt;=Assumptions!$B$90,Assumptions!$B$86,Assumptions!$B$86+Assumptions!$B$87*(M38-Assumptions!$B$90)/1000000)))</f>
        <v/>
      </c>
      <c r="N39" s="16">
        <f>IF(N38&lt;=Assumptions!$B$88,Assumptions!$B$84,IF(N38&lt;=Assumptions!$B$89,Assumptions!$B$85,IF(N38&lt;=Assumptions!$B$90,Assumptions!$B$86,Assumptions!$B$86+Assumptions!$B$87*(N38-Assumptions!$B$90)/1000000)))</f>
        <v/>
      </c>
      <c r="O39" s="16">
        <f>IF(O38&lt;=Assumptions!$B$88,Assumptions!$B$84,IF(O38&lt;=Assumptions!$B$89,Assumptions!$B$85,IF(O38&lt;=Assumptions!$B$90,Assumptions!$B$86,Assumptions!$B$86+Assumptions!$B$87*(O38-Assumptions!$B$90)/1000000)))</f>
        <v/>
      </c>
      <c r="P39" s="16">
        <f>IF(P38&lt;=Assumptions!$B$88,Assumptions!$B$84,IF(P38&lt;=Assumptions!$B$89,Assumptions!$B$85,IF(P38&lt;=Assumptions!$B$90,Assumptions!$B$86,Assumptions!$B$86+Assumptions!$B$87*(P38-Assumptions!$B$90)/1000000)))</f>
        <v/>
      </c>
      <c r="Q39" s="16">
        <f>IF(Q38&lt;=Assumptions!$B$88,Assumptions!$B$84,IF(Q38&lt;=Assumptions!$B$89,Assumptions!$B$85,IF(Q38&lt;=Assumptions!$B$90,Assumptions!$B$86,Assumptions!$B$86+Assumptions!$B$87*(Q38-Assumptions!$B$90)/1000000)))</f>
        <v/>
      </c>
      <c r="R39" s="16">
        <f>IF(R38&lt;=Assumptions!$B$88,Assumptions!$B$84,IF(R38&lt;=Assumptions!$B$89,Assumptions!$B$85,IF(R38&lt;=Assumptions!$B$90,Assumptions!$B$86,Assumptions!$B$86+Assumptions!$B$87*(R38-Assumptions!$B$90)/1000000)))</f>
        <v/>
      </c>
      <c r="S39" s="16">
        <f>IF(S38&lt;=Assumptions!$B$88,Assumptions!$B$84,IF(S38&lt;=Assumptions!$B$89,Assumptions!$B$85,IF(S38&lt;=Assumptions!$B$90,Assumptions!$B$86,Assumptions!$B$86+Assumptions!$B$87*(S38-Assumptions!$B$90)/1000000)))</f>
        <v/>
      </c>
      <c r="T39" s="16">
        <f>IF(T38&lt;=Assumptions!$B$88,Assumptions!$B$84,IF(T38&lt;=Assumptions!$B$89,Assumptions!$B$85,IF(T38&lt;=Assumptions!$B$90,Assumptions!$B$86,Assumptions!$B$86+Assumptions!$B$87*(T38-Assumptions!$B$90)/1000000)))</f>
        <v/>
      </c>
      <c r="U39" s="16">
        <f>IF(U38&lt;=Assumptions!$B$88,Assumptions!$B$84,IF(U38&lt;=Assumptions!$B$89,Assumptions!$B$85,IF(U38&lt;=Assumptions!$B$90,Assumptions!$B$86,Assumptions!$B$86+Assumptions!$B$87*(U38-Assumptions!$B$90)/1000000)))</f>
        <v/>
      </c>
      <c r="V39" s="16">
        <f>IF(V38&lt;=Assumptions!$B$88,Assumptions!$B$84,IF(V38&lt;=Assumptions!$B$89,Assumptions!$B$85,IF(V38&lt;=Assumptions!$B$90,Assumptions!$B$86,Assumptions!$B$86+Assumptions!$B$87*(V38-Assumptions!$B$90)/1000000)))</f>
        <v/>
      </c>
      <c r="W39" s="16">
        <f>IF(W38&lt;=Assumptions!$B$88,Assumptions!$B$84,IF(W38&lt;=Assumptions!$B$89,Assumptions!$B$85,IF(W38&lt;=Assumptions!$B$90,Assumptions!$B$86,Assumptions!$B$86+Assumptions!$B$87*(W38-Assumptions!$B$90)/1000000)))</f>
        <v/>
      </c>
      <c r="X39" s="16">
        <f>IF(X38&lt;=Assumptions!$B$88,Assumptions!$B$84,IF(X38&lt;=Assumptions!$B$89,Assumptions!$B$85,IF(X38&lt;=Assumptions!$B$90,Assumptions!$B$86,Assumptions!$B$86+Assumptions!$B$87*(X38-Assumptions!$B$90)/1000000)))</f>
        <v/>
      </c>
      <c r="Y39" s="16">
        <f>IF(Y38&lt;=Assumptions!$B$88,Assumptions!$B$84,IF(Y38&lt;=Assumptions!$B$89,Assumptions!$B$85,IF(Y38&lt;=Assumptions!$B$90,Assumptions!$B$86,Assumptions!$B$86+Assumptions!$B$87*(Y38-Assumptions!$B$90)/1000000)))</f>
        <v/>
      </c>
    </row>
    <row r="40">
      <c r="A40" s="5" t="inlineStr">
        <is>
          <t>Fixed SaaS ₹</t>
        </is>
      </c>
      <c r="B40" s="16">
        <f>IF(B38&lt;=Assumptions!$B$88,Assumptions!$B$91,Assumptions!$B$92)</f>
        <v/>
      </c>
      <c r="C40" s="16">
        <f>IF(C38&lt;=Assumptions!$B$88,Assumptions!$B$91,Assumptions!$B$92)</f>
        <v/>
      </c>
      <c r="D40" s="16">
        <f>IF(D38&lt;=Assumptions!$B$88,Assumptions!$B$91,Assumptions!$B$92)</f>
        <v/>
      </c>
      <c r="E40" s="16">
        <f>IF(E38&lt;=Assumptions!$B$88,Assumptions!$B$91,Assumptions!$B$92)</f>
        <v/>
      </c>
      <c r="F40" s="16">
        <f>IF(F38&lt;=Assumptions!$B$88,Assumptions!$B$91,Assumptions!$B$92)</f>
        <v/>
      </c>
      <c r="G40" s="16">
        <f>IF(G38&lt;=Assumptions!$B$88,Assumptions!$B$91,Assumptions!$B$92)</f>
        <v/>
      </c>
      <c r="H40" s="16">
        <f>IF(H38&lt;=Assumptions!$B$88,Assumptions!$B$91,Assumptions!$B$92)</f>
        <v/>
      </c>
      <c r="I40" s="16">
        <f>IF(I38&lt;=Assumptions!$B$88,Assumptions!$B$91,Assumptions!$B$92)</f>
        <v/>
      </c>
      <c r="J40" s="16">
        <f>IF(J38&lt;=Assumptions!$B$88,Assumptions!$B$91,Assumptions!$B$92)</f>
        <v/>
      </c>
      <c r="K40" s="16">
        <f>IF(K38&lt;=Assumptions!$B$88,Assumptions!$B$91,Assumptions!$B$92)</f>
        <v/>
      </c>
      <c r="L40" s="16">
        <f>IF(L38&lt;=Assumptions!$B$88,Assumptions!$B$91,Assumptions!$B$92)</f>
        <v/>
      </c>
      <c r="M40" s="16">
        <f>IF(M38&lt;=Assumptions!$B$88,Assumptions!$B$91,Assumptions!$B$92)</f>
        <v/>
      </c>
      <c r="N40" s="16">
        <f>IF(N38&lt;=Assumptions!$B$88,Assumptions!$B$91,Assumptions!$B$92)</f>
        <v/>
      </c>
      <c r="O40" s="16">
        <f>IF(O38&lt;=Assumptions!$B$88,Assumptions!$B$91,Assumptions!$B$92)</f>
        <v/>
      </c>
      <c r="P40" s="16">
        <f>IF(P38&lt;=Assumptions!$B$88,Assumptions!$B$91,Assumptions!$B$92)</f>
        <v/>
      </c>
      <c r="Q40" s="16">
        <f>IF(Q38&lt;=Assumptions!$B$88,Assumptions!$B$91,Assumptions!$B$92)</f>
        <v/>
      </c>
      <c r="R40" s="16">
        <f>IF(R38&lt;=Assumptions!$B$88,Assumptions!$B$91,Assumptions!$B$92)</f>
        <v/>
      </c>
      <c r="S40" s="16">
        <f>IF(S38&lt;=Assumptions!$B$88,Assumptions!$B$91,Assumptions!$B$92)</f>
        <v/>
      </c>
      <c r="T40" s="16">
        <f>IF(T38&lt;=Assumptions!$B$88,Assumptions!$B$91,Assumptions!$B$92)</f>
        <v/>
      </c>
      <c r="U40" s="16">
        <f>IF(U38&lt;=Assumptions!$B$88,Assumptions!$B$91,Assumptions!$B$92)</f>
        <v/>
      </c>
      <c r="V40" s="16">
        <f>IF(V38&lt;=Assumptions!$B$88,Assumptions!$B$91,Assumptions!$B$92)</f>
        <v/>
      </c>
      <c r="W40" s="16">
        <f>IF(W38&lt;=Assumptions!$B$88,Assumptions!$B$91,Assumptions!$B$92)</f>
        <v/>
      </c>
      <c r="X40" s="16">
        <f>IF(X38&lt;=Assumptions!$B$88,Assumptions!$B$91,Assumptions!$B$92)</f>
        <v/>
      </c>
      <c r="Y40" s="16">
        <f>IF(Y38&lt;=Assumptions!$B$88,Assumptions!$B$91,Assumptions!$B$92)</f>
        <v/>
      </c>
    </row>
    <row r="41">
      <c r="A41" s="5" t="inlineStr">
        <is>
          <t>Payroll ₹</t>
        </is>
      </c>
      <c r="B41" s="16">
        <f>IF(B5&lt;=6,Assumptions!$B$94,IF(B5&lt;=12,Assumptions!$B$95,Assumptions!$B$96))</f>
        <v/>
      </c>
      <c r="C41" s="16">
        <f>IF(C5&lt;=6,Assumptions!$B$94,IF(C5&lt;=12,Assumptions!$B$95,Assumptions!$B$96))</f>
        <v/>
      </c>
      <c r="D41" s="16">
        <f>IF(D5&lt;=6,Assumptions!$B$94,IF(D5&lt;=12,Assumptions!$B$95,Assumptions!$B$96))</f>
        <v/>
      </c>
      <c r="E41" s="16">
        <f>IF(E5&lt;=6,Assumptions!$B$94,IF(E5&lt;=12,Assumptions!$B$95,Assumptions!$B$96))</f>
        <v/>
      </c>
      <c r="F41" s="16">
        <f>IF(F5&lt;=6,Assumptions!$B$94,IF(F5&lt;=12,Assumptions!$B$95,Assumptions!$B$96))</f>
        <v/>
      </c>
      <c r="G41" s="16">
        <f>IF(G5&lt;=6,Assumptions!$B$94,IF(G5&lt;=12,Assumptions!$B$95,Assumptions!$B$96))</f>
        <v/>
      </c>
      <c r="H41" s="16">
        <f>IF(H5&lt;=6,Assumptions!$B$94,IF(H5&lt;=12,Assumptions!$B$95,Assumptions!$B$96))</f>
        <v/>
      </c>
      <c r="I41" s="16">
        <f>IF(I5&lt;=6,Assumptions!$B$94,IF(I5&lt;=12,Assumptions!$B$95,Assumptions!$B$96))</f>
        <v/>
      </c>
      <c r="J41" s="16">
        <f>IF(J5&lt;=6,Assumptions!$B$94,IF(J5&lt;=12,Assumptions!$B$95,Assumptions!$B$96))</f>
        <v/>
      </c>
      <c r="K41" s="16">
        <f>IF(K5&lt;=6,Assumptions!$B$94,IF(K5&lt;=12,Assumptions!$B$95,Assumptions!$B$96))</f>
        <v/>
      </c>
      <c r="L41" s="16">
        <f>IF(L5&lt;=6,Assumptions!$B$94,IF(L5&lt;=12,Assumptions!$B$95,Assumptions!$B$96))</f>
        <v/>
      </c>
      <c r="M41" s="16">
        <f>IF(M5&lt;=6,Assumptions!$B$94,IF(M5&lt;=12,Assumptions!$B$95,Assumptions!$B$96))</f>
        <v/>
      </c>
      <c r="N41" s="16">
        <f>IF(N5&lt;=6,Assumptions!$B$94,IF(N5&lt;=12,Assumptions!$B$95,Assumptions!$B$96))</f>
        <v/>
      </c>
      <c r="O41" s="16">
        <f>IF(O5&lt;=6,Assumptions!$B$94,IF(O5&lt;=12,Assumptions!$B$95,Assumptions!$B$96))</f>
        <v/>
      </c>
      <c r="P41" s="16">
        <f>IF(P5&lt;=6,Assumptions!$B$94,IF(P5&lt;=12,Assumptions!$B$95,Assumptions!$B$96))</f>
        <v/>
      </c>
      <c r="Q41" s="16">
        <f>IF(Q5&lt;=6,Assumptions!$B$94,IF(Q5&lt;=12,Assumptions!$B$95,Assumptions!$B$96))</f>
        <v/>
      </c>
      <c r="R41" s="16">
        <f>IF(R5&lt;=6,Assumptions!$B$94,IF(R5&lt;=12,Assumptions!$B$95,Assumptions!$B$96))</f>
        <v/>
      </c>
      <c r="S41" s="16">
        <f>IF(S5&lt;=6,Assumptions!$B$94,IF(S5&lt;=12,Assumptions!$B$95,Assumptions!$B$96))</f>
        <v/>
      </c>
      <c r="T41" s="16">
        <f>IF(T5&lt;=6,Assumptions!$B$94,IF(T5&lt;=12,Assumptions!$B$95,Assumptions!$B$96))</f>
        <v/>
      </c>
      <c r="U41" s="16">
        <f>IF(U5&lt;=6,Assumptions!$B$94,IF(U5&lt;=12,Assumptions!$B$95,Assumptions!$B$96))</f>
        <v/>
      </c>
      <c r="V41" s="16">
        <f>IF(V5&lt;=6,Assumptions!$B$94,IF(V5&lt;=12,Assumptions!$B$95,Assumptions!$B$96))</f>
        <v/>
      </c>
      <c r="W41" s="16">
        <f>IF(W5&lt;=6,Assumptions!$B$94,IF(W5&lt;=12,Assumptions!$B$95,Assumptions!$B$96))</f>
        <v/>
      </c>
      <c r="X41" s="16">
        <f>IF(X5&lt;=6,Assumptions!$B$94,IF(X5&lt;=12,Assumptions!$B$95,Assumptions!$B$96))</f>
        <v/>
      </c>
      <c r="Y41" s="16">
        <f>IF(Y5&lt;=6,Assumptions!$B$94,IF(Y5&lt;=12,Assumptions!$B$95,Assumptions!$B$96))</f>
        <v/>
      </c>
    </row>
    <row r="42">
      <c r="A42" s="5" t="inlineStr">
        <is>
          <t>Champion retainers ₹</t>
        </is>
      </c>
      <c r="B42" s="16">
        <f>IF(B5&gt;=Assumptions!$B$78,Assumptions!$B$79*Assumptions!$B$81,0)</f>
        <v/>
      </c>
      <c r="C42" s="16">
        <f>IF(C5&gt;=Assumptions!$B$78,Assumptions!$B$79*Assumptions!$B$81,0)</f>
        <v/>
      </c>
      <c r="D42" s="16">
        <f>IF(D5&gt;=Assumptions!$B$78,Assumptions!$B$79*Assumptions!$B$81,0)</f>
        <v/>
      </c>
      <c r="E42" s="16">
        <f>IF(E5&gt;=Assumptions!$B$78,Assumptions!$B$79*Assumptions!$B$81,0)</f>
        <v/>
      </c>
      <c r="F42" s="16">
        <f>IF(F5&gt;=Assumptions!$B$78,Assumptions!$B$79*Assumptions!$B$81,0)</f>
        <v/>
      </c>
      <c r="G42" s="16">
        <f>IF(G5&gt;=Assumptions!$B$78,Assumptions!$B$79*Assumptions!$B$81,0)</f>
        <v/>
      </c>
      <c r="H42" s="16">
        <f>IF(H5&gt;=Assumptions!$B$78,Assumptions!$B$79*Assumptions!$B$81,0)</f>
        <v/>
      </c>
      <c r="I42" s="16">
        <f>IF(I5&gt;=Assumptions!$B$78,Assumptions!$B$79*Assumptions!$B$81,0)</f>
        <v/>
      </c>
      <c r="J42" s="16">
        <f>IF(J5&gt;=Assumptions!$B$78,Assumptions!$B$79*Assumptions!$B$81,0)</f>
        <v/>
      </c>
      <c r="K42" s="16">
        <f>IF(K5&gt;=Assumptions!$B$78,Assumptions!$B$79*Assumptions!$B$81,0)</f>
        <v/>
      </c>
      <c r="L42" s="16">
        <f>IF(L5&gt;=Assumptions!$B$78,Assumptions!$B$79*Assumptions!$B$81,0)</f>
        <v/>
      </c>
      <c r="M42" s="16">
        <f>IF(M5&gt;=Assumptions!$B$78,Assumptions!$B$79*Assumptions!$B$81,0)</f>
        <v/>
      </c>
      <c r="N42" s="16">
        <f>IF(N5&gt;=Assumptions!$B$78,Assumptions!$B$79*Assumptions!$B$81,0)</f>
        <v/>
      </c>
      <c r="O42" s="16">
        <f>IF(O5&gt;=Assumptions!$B$78,Assumptions!$B$79*Assumptions!$B$81,0)</f>
        <v/>
      </c>
      <c r="P42" s="16">
        <f>IF(P5&gt;=Assumptions!$B$78,Assumptions!$B$79*Assumptions!$B$81,0)</f>
        <v/>
      </c>
      <c r="Q42" s="16">
        <f>IF(Q5&gt;=Assumptions!$B$78,Assumptions!$B$79*Assumptions!$B$81,0)</f>
        <v/>
      </c>
      <c r="R42" s="16">
        <f>IF(R5&gt;=Assumptions!$B$78,Assumptions!$B$79*Assumptions!$B$81,0)</f>
        <v/>
      </c>
      <c r="S42" s="16">
        <f>IF(S5&gt;=Assumptions!$B$78,Assumptions!$B$79*Assumptions!$B$81,0)</f>
        <v/>
      </c>
      <c r="T42" s="16">
        <f>IF(T5&gt;=Assumptions!$B$78,Assumptions!$B$79*Assumptions!$B$81,0)</f>
        <v/>
      </c>
      <c r="U42" s="16">
        <f>IF(U5&gt;=Assumptions!$B$78,Assumptions!$B$79*Assumptions!$B$81,0)</f>
        <v/>
      </c>
      <c r="V42" s="16">
        <f>IF(V5&gt;=Assumptions!$B$78,Assumptions!$B$79*Assumptions!$B$81,0)</f>
        <v/>
      </c>
      <c r="W42" s="16">
        <f>IF(W5&gt;=Assumptions!$B$78,Assumptions!$B$79*Assumptions!$B$81,0)</f>
        <v/>
      </c>
      <c r="X42" s="16">
        <f>IF(X5&gt;=Assumptions!$B$78,Assumptions!$B$79*Assumptions!$B$81,0)</f>
        <v/>
      </c>
      <c r="Y42" s="16">
        <f>IF(Y5&gt;=Assumptions!$B$78,Assumptions!$B$79*Assumptions!$B$81,0)</f>
        <v/>
      </c>
    </row>
    <row r="43">
      <c r="A43" s="5" t="inlineStr">
        <is>
          <t>Champion commission ₹</t>
        </is>
      </c>
      <c r="B43" s="16">
        <f>B26*Assumptions!$B$82</f>
        <v/>
      </c>
      <c r="C43" s="16">
        <f>C26*Assumptions!$B$82</f>
        <v/>
      </c>
      <c r="D43" s="16">
        <f>D26*Assumptions!$B$82</f>
        <v/>
      </c>
      <c r="E43" s="16">
        <f>E26*Assumptions!$B$82</f>
        <v/>
      </c>
      <c r="F43" s="16">
        <f>F26*Assumptions!$B$82</f>
        <v/>
      </c>
      <c r="G43" s="16">
        <f>G26*Assumptions!$B$82</f>
        <v/>
      </c>
      <c r="H43" s="16">
        <f>H26*Assumptions!$B$82</f>
        <v/>
      </c>
      <c r="I43" s="16">
        <f>I26*Assumptions!$B$82</f>
        <v/>
      </c>
      <c r="J43" s="16">
        <f>J26*Assumptions!$B$82</f>
        <v/>
      </c>
      <c r="K43" s="16">
        <f>K26*Assumptions!$B$82</f>
        <v/>
      </c>
      <c r="L43" s="16">
        <f>L26*Assumptions!$B$82</f>
        <v/>
      </c>
      <c r="M43" s="16">
        <f>M26*Assumptions!$B$82</f>
        <v/>
      </c>
      <c r="N43" s="16">
        <f>N26*Assumptions!$B$82</f>
        <v/>
      </c>
      <c r="O43" s="16">
        <f>O26*Assumptions!$B$82</f>
        <v/>
      </c>
      <c r="P43" s="16">
        <f>P26*Assumptions!$B$82</f>
        <v/>
      </c>
      <c r="Q43" s="16">
        <f>Q26*Assumptions!$B$82</f>
        <v/>
      </c>
      <c r="R43" s="16">
        <f>R26*Assumptions!$B$82</f>
        <v/>
      </c>
      <c r="S43" s="16">
        <f>S26*Assumptions!$B$82</f>
        <v/>
      </c>
      <c r="T43" s="16">
        <f>T26*Assumptions!$B$82</f>
        <v/>
      </c>
      <c r="U43" s="16">
        <f>U26*Assumptions!$B$82</f>
        <v/>
      </c>
      <c r="V43" s="16">
        <f>V26*Assumptions!$B$82</f>
        <v/>
      </c>
      <c r="W43" s="16">
        <f>W26*Assumptions!$B$82</f>
        <v/>
      </c>
      <c r="X43" s="16">
        <f>X26*Assumptions!$B$82</f>
        <v/>
      </c>
      <c r="Y43" s="16">
        <f>Y26*Assumptions!$B$82</f>
        <v/>
      </c>
    </row>
    <row r="44">
      <c r="A44" s="5" t="inlineStr">
        <is>
          <t>Ads spend ₹</t>
        </is>
      </c>
      <c r="B44" s="16">
        <f>B6</f>
        <v/>
      </c>
      <c r="C44" s="16">
        <f>C6</f>
        <v/>
      </c>
      <c r="D44" s="16">
        <f>D6</f>
        <v/>
      </c>
      <c r="E44" s="16">
        <f>E6</f>
        <v/>
      </c>
      <c r="F44" s="16">
        <f>F6</f>
        <v/>
      </c>
      <c r="G44" s="16">
        <f>G6</f>
        <v/>
      </c>
      <c r="H44" s="16">
        <f>H6</f>
        <v/>
      </c>
      <c r="I44" s="16">
        <f>I6</f>
        <v/>
      </c>
      <c r="J44" s="16">
        <f>J6</f>
        <v/>
      </c>
      <c r="K44" s="16">
        <f>K6</f>
        <v/>
      </c>
      <c r="L44" s="16">
        <f>L6</f>
        <v/>
      </c>
      <c r="M44" s="16">
        <f>M6</f>
        <v/>
      </c>
      <c r="N44" s="16">
        <f>N6</f>
        <v/>
      </c>
      <c r="O44" s="16">
        <f>O6</f>
        <v/>
      </c>
      <c r="P44" s="16">
        <f>P6</f>
        <v/>
      </c>
      <c r="Q44" s="16">
        <f>Q6</f>
        <v/>
      </c>
      <c r="R44" s="16">
        <f>R6</f>
        <v/>
      </c>
      <c r="S44" s="16">
        <f>S6</f>
        <v/>
      </c>
      <c r="T44" s="16">
        <f>T6</f>
        <v/>
      </c>
      <c r="U44" s="16">
        <f>U6</f>
        <v/>
      </c>
      <c r="V44" s="16">
        <f>V6</f>
        <v/>
      </c>
      <c r="W44" s="16">
        <f>W6</f>
        <v/>
      </c>
      <c r="X44" s="16">
        <f>X6</f>
        <v/>
      </c>
      <c r="Y44" s="16">
        <f>Y6</f>
        <v/>
      </c>
    </row>
    <row r="45">
      <c r="A45" s="7" t="inlineStr">
        <is>
          <t>OPERATING EXPENSES ₹</t>
        </is>
      </c>
      <c r="B45" s="22">
        <f>SUM(B39:B44)</f>
        <v/>
      </c>
      <c r="C45" s="22">
        <f>SUM(C39:C44)</f>
        <v/>
      </c>
      <c r="D45" s="22">
        <f>SUM(D39:D44)</f>
        <v/>
      </c>
      <c r="E45" s="22">
        <f>SUM(E39:E44)</f>
        <v/>
      </c>
      <c r="F45" s="22">
        <f>SUM(F39:F44)</f>
        <v/>
      </c>
      <c r="G45" s="22">
        <f>SUM(G39:G44)</f>
        <v/>
      </c>
      <c r="H45" s="22">
        <f>SUM(H39:H44)</f>
        <v/>
      </c>
      <c r="I45" s="22">
        <f>SUM(I39:I44)</f>
        <v/>
      </c>
      <c r="J45" s="22">
        <f>SUM(J39:J44)</f>
        <v/>
      </c>
      <c r="K45" s="22">
        <f>SUM(K39:K44)</f>
        <v/>
      </c>
      <c r="L45" s="22">
        <f>SUM(L39:L44)</f>
        <v/>
      </c>
      <c r="M45" s="22">
        <f>SUM(M39:M44)</f>
        <v/>
      </c>
      <c r="N45" s="22">
        <f>SUM(N39:N44)</f>
        <v/>
      </c>
      <c r="O45" s="22">
        <f>SUM(O39:O44)</f>
        <v/>
      </c>
      <c r="P45" s="22">
        <f>SUM(P39:P44)</f>
        <v/>
      </c>
      <c r="Q45" s="22">
        <f>SUM(Q39:Q44)</f>
        <v/>
      </c>
      <c r="R45" s="22">
        <f>SUM(R39:R44)</f>
        <v/>
      </c>
      <c r="S45" s="22">
        <f>SUM(S39:S44)</f>
        <v/>
      </c>
      <c r="T45" s="22">
        <f>SUM(T39:T44)</f>
        <v/>
      </c>
      <c r="U45" s="22">
        <f>SUM(U39:U44)</f>
        <v/>
      </c>
      <c r="V45" s="22">
        <f>SUM(V39:V44)</f>
        <v/>
      </c>
      <c r="W45" s="22">
        <f>SUM(W39:W44)</f>
        <v/>
      </c>
      <c r="X45" s="22">
        <f>SUM(X39:X44)</f>
        <v/>
      </c>
      <c r="Y45" s="22">
        <f>SUM(Y39:Y44)</f>
        <v/>
      </c>
    </row>
    <row r="46">
      <c r="A46" s="7" t="inlineStr">
        <is>
          <t>EBITDA ₹</t>
        </is>
      </c>
      <c r="B46" s="22">
        <f>B36-B45</f>
        <v/>
      </c>
      <c r="C46" s="22">
        <f>C36-C45</f>
        <v/>
      </c>
      <c r="D46" s="22">
        <f>D36-D45</f>
        <v/>
      </c>
      <c r="E46" s="22">
        <f>E36-E45</f>
        <v/>
      </c>
      <c r="F46" s="22">
        <f>F36-F45</f>
        <v/>
      </c>
      <c r="G46" s="22">
        <f>G36-G45</f>
        <v/>
      </c>
      <c r="H46" s="22">
        <f>H36-H45</f>
        <v/>
      </c>
      <c r="I46" s="22">
        <f>I36-I45</f>
        <v/>
      </c>
      <c r="J46" s="22">
        <f>J36-J45</f>
        <v/>
      </c>
      <c r="K46" s="22">
        <f>K36-K45</f>
        <v/>
      </c>
      <c r="L46" s="22">
        <f>L36-L45</f>
        <v/>
      </c>
      <c r="M46" s="22">
        <f>M36-M45</f>
        <v/>
      </c>
      <c r="N46" s="22">
        <f>N36-N45</f>
        <v/>
      </c>
      <c r="O46" s="22">
        <f>O36-O45</f>
        <v/>
      </c>
      <c r="P46" s="22">
        <f>P36-P45</f>
        <v/>
      </c>
      <c r="Q46" s="22">
        <f>Q36-Q45</f>
        <v/>
      </c>
      <c r="R46" s="22">
        <f>R36-R45</f>
        <v/>
      </c>
      <c r="S46" s="22">
        <f>S36-S45</f>
        <v/>
      </c>
      <c r="T46" s="22">
        <f>T36-T45</f>
        <v/>
      </c>
      <c r="U46" s="22">
        <f>U36-U45</f>
        <v/>
      </c>
      <c r="V46" s="22">
        <f>V36-V45</f>
        <v/>
      </c>
      <c r="W46" s="22">
        <f>W36-W45</f>
        <v/>
      </c>
      <c r="X46" s="22">
        <f>X36-X45</f>
        <v/>
      </c>
      <c r="Y46" s="22">
        <f>Y36-Y45</f>
        <v/>
      </c>
    </row>
    <row r="47">
      <c r="A47" s="7" t="inlineStr">
        <is>
          <t>Cash at month end ₹</t>
        </is>
      </c>
      <c r="B47" s="22">
        <f>Assumptions!$B$12+B46</f>
        <v/>
      </c>
      <c r="C47" s="22">
        <f>B47+C46</f>
        <v/>
      </c>
      <c r="D47" s="22">
        <f>C47+D46</f>
        <v/>
      </c>
      <c r="E47" s="22">
        <f>D47+E46</f>
        <v/>
      </c>
      <c r="F47" s="22">
        <f>E47+F46</f>
        <v/>
      </c>
      <c r="G47" s="22">
        <f>F47+G46</f>
        <v/>
      </c>
      <c r="H47" s="22">
        <f>G47+H46</f>
        <v/>
      </c>
      <c r="I47" s="22">
        <f>H47+I46</f>
        <v/>
      </c>
      <c r="J47" s="22">
        <f>I47+J46</f>
        <v/>
      </c>
      <c r="K47" s="22">
        <f>J47+K46</f>
        <v/>
      </c>
      <c r="L47" s="22">
        <f>K47+L46</f>
        <v/>
      </c>
      <c r="M47" s="22">
        <f>L47+M46</f>
        <v/>
      </c>
      <c r="N47" s="22">
        <f>M47+N46</f>
        <v/>
      </c>
      <c r="O47" s="22">
        <f>N47+O46</f>
        <v/>
      </c>
      <c r="P47" s="22">
        <f>O47+P46</f>
        <v/>
      </c>
      <c r="Q47" s="22">
        <f>P47+Q46</f>
        <v/>
      </c>
      <c r="R47" s="22">
        <f>Q47+R46</f>
        <v/>
      </c>
      <c r="S47" s="22">
        <f>R47+S46</f>
        <v/>
      </c>
      <c r="T47" s="22">
        <f>S47+T46</f>
        <v/>
      </c>
      <c r="U47" s="22">
        <f>T47+U46</f>
        <v/>
      </c>
      <c r="V47" s="22">
        <f>U47+V46</f>
        <v/>
      </c>
      <c r="W47" s="22">
        <f>V47+W46</f>
        <v/>
      </c>
      <c r="X47" s="22">
        <f>W47+X46</f>
        <v/>
      </c>
      <c r="Y47" s="22">
        <f>X47+Y46</f>
        <v/>
      </c>
    </row>
    <row r="48">
      <c r="A48" s="5" t="inlineStr">
        <is>
          <t>Cumulative cash positive?</t>
        </is>
      </c>
      <c r="B48" s="16">
        <f>IF(B46&gt;=0,"EBITDA +","")</f>
        <v/>
      </c>
      <c r="C48" s="16">
        <f>IF(C46&gt;=0,"EBITDA +","")</f>
        <v/>
      </c>
      <c r="D48" s="16">
        <f>IF(D46&gt;=0,"EBITDA +","")</f>
        <v/>
      </c>
      <c r="E48" s="16">
        <f>IF(E46&gt;=0,"EBITDA +","")</f>
        <v/>
      </c>
      <c r="F48" s="16">
        <f>IF(F46&gt;=0,"EBITDA +","")</f>
        <v/>
      </c>
      <c r="G48" s="16">
        <f>IF(G46&gt;=0,"EBITDA +","")</f>
        <v/>
      </c>
      <c r="H48" s="16">
        <f>IF(H46&gt;=0,"EBITDA +","")</f>
        <v/>
      </c>
      <c r="I48" s="16">
        <f>IF(I46&gt;=0,"EBITDA +","")</f>
        <v/>
      </c>
      <c r="J48" s="16">
        <f>IF(J46&gt;=0,"EBITDA +","")</f>
        <v/>
      </c>
      <c r="K48" s="16">
        <f>IF(K46&gt;=0,"EBITDA +","")</f>
        <v/>
      </c>
      <c r="L48" s="16">
        <f>IF(L46&gt;=0,"EBITDA +","")</f>
        <v/>
      </c>
      <c r="M48" s="16">
        <f>IF(M46&gt;=0,"EBITDA +","")</f>
        <v/>
      </c>
      <c r="N48" s="16">
        <f>IF(N46&gt;=0,"EBITDA +","")</f>
        <v/>
      </c>
      <c r="O48" s="16">
        <f>IF(O46&gt;=0,"EBITDA +","")</f>
        <v/>
      </c>
      <c r="P48" s="16">
        <f>IF(P46&gt;=0,"EBITDA +","")</f>
        <v/>
      </c>
      <c r="Q48" s="16">
        <f>IF(Q46&gt;=0,"EBITDA +","")</f>
        <v/>
      </c>
      <c r="R48" s="16">
        <f>IF(R46&gt;=0,"EBITDA +","")</f>
        <v/>
      </c>
      <c r="S48" s="16">
        <f>IF(S46&gt;=0,"EBITDA +","")</f>
        <v/>
      </c>
      <c r="T48" s="16">
        <f>IF(T46&gt;=0,"EBITDA +","")</f>
        <v/>
      </c>
      <c r="U48" s="16">
        <f>IF(U46&gt;=0,"EBITDA +","")</f>
        <v/>
      </c>
      <c r="V48" s="16">
        <f>IF(V46&gt;=0,"EBITDA +","")</f>
        <v/>
      </c>
      <c r="W48" s="16">
        <f>IF(W46&gt;=0,"EBITDA +","")</f>
        <v/>
      </c>
      <c r="X48" s="16">
        <f>IF(X46&gt;=0,"EBITDA +","")</f>
        <v/>
      </c>
      <c r="Y48" s="16">
        <f>IF(Y46&gt;=0,"EBITDA +","")</f>
        <v/>
      </c>
    </row>
    <row r="50">
      <c r="A50" s="3" t="inlineStr">
        <is>
          <t>SUMMARY</t>
        </is>
      </c>
    </row>
    <row r="51">
      <c r="A51" s="5" t="inlineStr">
        <is>
          <t>First month with positive EBITDA</t>
        </is>
      </c>
      <c r="B51" s="5">
        <f>IFERROR(MATCH("EBITDA +",$B$48:$Y$48,0),"not within 24 months")</f>
        <v/>
      </c>
    </row>
    <row r="52">
      <c r="A52" s="5" t="inlineStr">
        <is>
          <t>Lowest cash balance ₹ (peak funding need if negative)</t>
        </is>
      </c>
      <c r="B52" s="23">
        <f>MIN($B$47:$Y$47)</f>
        <v/>
      </c>
    </row>
    <row r="53">
      <c r="A53" s="5" t="inlineStr">
        <is>
          <t>Paying customers at month 24</t>
        </is>
      </c>
      <c r="B53" s="24">
        <f>$Y$21</f>
        <v/>
      </c>
    </row>
    <row r="54">
      <c r="A54" s="5" t="inlineStr">
        <is>
          <t>Monthly revenue at month 24 ₹</t>
        </is>
      </c>
      <c r="B54" s="23">
        <f>$Y$27</f>
        <v/>
      </c>
    </row>
    <row r="55">
      <c r="A55" s="5" t="inlineStr">
        <is>
          <t>Revenue needed per month to cover opex at month 24, at current gross margin ₹</t>
        </is>
      </c>
      <c r="B55" s="23">
        <f>IF($Y$37=0,0,$Y$45/$Y$37)</f>
        <v/>
      </c>
    </row>
    <row r="56">
      <c r="A56" s="5" t="inlineStr">
        <is>
          <t>Blended CAC from ads ₹ (ads spend / new paid from self-serve, month 24)</t>
        </is>
      </c>
      <c r="B56" s="23">
        <f>IF($Y$10=0,0,$Y$44/$Y$10)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Balance sheet snapshot, end of each month</t>
        </is>
      </c>
    </row>
    <row r="2">
      <c r="A2" s="2" t="inlineStr">
        <is>
          <t>Simplified: prepaid SaaS has no receivables; unused prepaid credits are a liability (deferred revenue). No debt, no fixed assets, no tax.</t>
        </is>
      </c>
    </row>
    <row r="4">
      <c r="A4" s="14" t="inlineStr">
        <is>
          <t>Line</t>
        </is>
      </c>
      <c r="B4" s="14" t="inlineStr">
        <is>
          <t>M1</t>
        </is>
      </c>
      <c r="C4" s="14" t="inlineStr">
        <is>
          <t>M2</t>
        </is>
      </c>
      <c r="D4" s="14" t="inlineStr">
        <is>
          <t>M3</t>
        </is>
      </c>
      <c r="E4" s="14" t="inlineStr">
        <is>
          <t>M4</t>
        </is>
      </c>
      <c r="F4" s="14" t="inlineStr">
        <is>
          <t>M5</t>
        </is>
      </c>
      <c r="G4" s="14" t="inlineStr">
        <is>
          <t>M6</t>
        </is>
      </c>
      <c r="H4" s="14" t="inlineStr">
        <is>
          <t>M7</t>
        </is>
      </c>
      <c r="I4" s="14" t="inlineStr">
        <is>
          <t>M8</t>
        </is>
      </c>
      <c r="J4" s="14" t="inlineStr">
        <is>
          <t>M9</t>
        </is>
      </c>
      <c r="K4" s="14" t="inlineStr">
        <is>
          <t>M10</t>
        </is>
      </c>
      <c r="L4" s="14" t="inlineStr">
        <is>
          <t>M11</t>
        </is>
      </c>
      <c r="M4" s="14" t="inlineStr">
        <is>
          <t>M12</t>
        </is>
      </c>
      <c r="N4" s="14" t="inlineStr">
        <is>
          <t>M13</t>
        </is>
      </c>
      <c r="O4" s="14" t="inlineStr">
        <is>
          <t>M14</t>
        </is>
      </c>
      <c r="P4" s="14" t="inlineStr">
        <is>
          <t>M15</t>
        </is>
      </c>
      <c r="Q4" s="14" t="inlineStr">
        <is>
          <t>M16</t>
        </is>
      </c>
      <c r="R4" s="14" t="inlineStr">
        <is>
          <t>M17</t>
        </is>
      </c>
      <c r="S4" s="14" t="inlineStr">
        <is>
          <t>M18</t>
        </is>
      </c>
      <c r="T4" s="14" t="inlineStr">
        <is>
          <t>M19</t>
        </is>
      </c>
      <c r="U4" s="14" t="inlineStr">
        <is>
          <t>M20</t>
        </is>
      </c>
      <c r="V4" s="14" t="inlineStr">
        <is>
          <t>M21</t>
        </is>
      </c>
      <c r="W4" s="14" t="inlineStr">
        <is>
          <t>M22</t>
        </is>
      </c>
      <c r="X4" s="14" t="inlineStr">
        <is>
          <t>M23</t>
        </is>
      </c>
      <c r="Y4" s="14" t="inlineStr">
        <is>
          <t>M24</t>
        </is>
      </c>
    </row>
    <row r="5">
      <c r="A5" s="5" t="inlineStr">
        <is>
          <t>Cash ₹</t>
        </is>
      </c>
      <c r="B5" s="15">
        <f>Model!B47</f>
        <v/>
      </c>
      <c r="C5" s="15">
        <f>Model!C47</f>
        <v/>
      </c>
      <c r="D5" s="15">
        <f>Model!D47</f>
        <v/>
      </c>
      <c r="E5" s="15">
        <f>Model!E47</f>
        <v/>
      </c>
      <c r="F5" s="15">
        <f>Model!F47</f>
        <v/>
      </c>
      <c r="G5" s="15">
        <f>Model!G47</f>
        <v/>
      </c>
      <c r="H5" s="15">
        <f>Model!H47</f>
        <v/>
      </c>
      <c r="I5" s="15">
        <f>Model!I47</f>
        <v/>
      </c>
      <c r="J5" s="15">
        <f>Model!J47</f>
        <v/>
      </c>
      <c r="K5" s="15">
        <f>Model!K47</f>
        <v/>
      </c>
      <c r="L5" s="15">
        <f>Model!L47</f>
        <v/>
      </c>
      <c r="M5" s="15">
        <f>Model!M47</f>
        <v/>
      </c>
      <c r="N5" s="15">
        <f>Model!N47</f>
        <v/>
      </c>
      <c r="O5" s="15">
        <f>Model!O47</f>
        <v/>
      </c>
      <c r="P5" s="15">
        <f>Model!P47</f>
        <v/>
      </c>
      <c r="Q5" s="15">
        <f>Model!Q47</f>
        <v/>
      </c>
      <c r="R5" s="15">
        <f>Model!R47</f>
        <v/>
      </c>
      <c r="S5" s="15">
        <f>Model!S47</f>
        <v/>
      </c>
      <c r="T5" s="15">
        <f>Model!T47</f>
        <v/>
      </c>
      <c r="U5" s="15">
        <f>Model!U47</f>
        <v/>
      </c>
      <c r="V5" s="15">
        <f>Model!V47</f>
        <v/>
      </c>
      <c r="W5" s="15">
        <f>Model!W47</f>
        <v/>
      </c>
      <c r="X5" s="15">
        <f>Model!X47</f>
        <v/>
      </c>
      <c r="Y5" s="15">
        <f>Model!Y47</f>
        <v/>
      </c>
    </row>
    <row r="6">
      <c r="A6" s="3" t="inlineStr">
        <is>
          <t>Total assets ₹</t>
        </is>
      </c>
      <c r="B6" s="16">
        <f>B5</f>
        <v/>
      </c>
      <c r="C6" s="16">
        <f>C5</f>
        <v/>
      </c>
      <c r="D6" s="16">
        <f>D5</f>
        <v/>
      </c>
      <c r="E6" s="16">
        <f>E5</f>
        <v/>
      </c>
      <c r="F6" s="16">
        <f>F5</f>
        <v/>
      </c>
      <c r="G6" s="16">
        <f>G5</f>
        <v/>
      </c>
      <c r="H6" s="16">
        <f>H5</f>
        <v/>
      </c>
      <c r="I6" s="16">
        <f>I5</f>
        <v/>
      </c>
      <c r="J6" s="16">
        <f>J5</f>
        <v/>
      </c>
      <c r="K6" s="16">
        <f>K5</f>
        <v/>
      </c>
      <c r="L6" s="16">
        <f>L5</f>
        <v/>
      </c>
      <c r="M6" s="16">
        <f>M5</f>
        <v/>
      </c>
      <c r="N6" s="16">
        <f>N5</f>
        <v/>
      </c>
      <c r="O6" s="16">
        <f>O5</f>
        <v/>
      </c>
      <c r="P6" s="16">
        <f>P5</f>
        <v/>
      </c>
      <c r="Q6" s="16">
        <f>Q5</f>
        <v/>
      </c>
      <c r="R6" s="16">
        <f>R5</f>
        <v/>
      </c>
      <c r="S6" s="16">
        <f>S5</f>
        <v/>
      </c>
      <c r="T6" s="16">
        <f>T5</f>
        <v/>
      </c>
      <c r="U6" s="16">
        <f>U5</f>
        <v/>
      </c>
      <c r="V6" s="16">
        <f>V5</f>
        <v/>
      </c>
      <c r="W6" s="16">
        <f>W5</f>
        <v/>
      </c>
      <c r="X6" s="16">
        <f>X5</f>
        <v/>
      </c>
      <c r="Y6" s="16">
        <f>Y5</f>
        <v/>
      </c>
    </row>
    <row r="7">
      <c r="A7" s="5" t="inlineStr">
        <is>
          <t>Deferred revenue: unused prepaid credits ₹</t>
        </is>
      </c>
      <c r="B7" s="16">
        <f>Model!B16*Assumptions!$B$16*(1-Assumptions!$B$18)+Model!B17*Assumptions!$B$23*(1-Assumptions!$B$25)+Model!B18*Assumptions!$B$30*(1-Assumptions!$B$32)+Model!B19*Assumptions!$B$37*(1-Assumptions!$B$39)+Model!B20*Assumptions!$B$23*(1-Assumptions!$B$25)</f>
        <v/>
      </c>
      <c r="C7" s="16">
        <f>Model!C16*Assumptions!$B$16*(1-Assumptions!$B$18)+Model!C17*Assumptions!$B$23*(1-Assumptions!$B$25)+Model!C18*Assumptions!$B$30*(1-Assumptions!$B$32)+Model!C19*Assumptions!$B$37*(1-Assumptions!$B$39)+Model!C20*Assumptions!$B$23*(1-Assumptions!$B$25)</f>
        <v/>
      </c>
      <c r="D7" s="16">
        <f>Model!D16*Assumptions!$B$16*(1-Assumptions!$B$18)+Model!D17*Assumptions!$B$23*(1-Assumptions!$B$25)+Model!D18*Assumptions!$B$30*(1-Assumptions!$B$32)+Model!D19*Assumptions!$B$37*(1-Assumptions!$B$39)+Model!D20*Assumptions!$B$23*(1-Assumptions!$B$25)</f>
        <v/>
      </c>
      <c r="E7" s="16">
        <f>Model!E16*Assumptions!$B$16*(1-Assumptions!$B$18)+Model!E17*Assumptions!$B$23*(1-Assumptions!$B$25)+Model!E18*Assumptions!$B$30*(1-Assumptions!$B$32)+Model!E19*Assumptions!$B$37*(1-Assumptions!$B$39)+Model!E20*Assumptions!$B$23*(1-Assumptions!$B$25)</f>
        <v/>
      </c>
      <c r="F7" s="16">
        <f>Model!F16*Assumptions!$B$16*(1-Assumptions!$B$18)+Model!F17*Assumptions!$B$23*(1-Assumptions!$B$25)+Model!F18*Assumptions!$B$30*(1-Assumptions!$B$32)+Model!F19*Assumptions!$B$37*(1-Assumptions!$B$39)+Model!F20*Assumptions!$B$23*(1-Assumptions!$B$25)</f>
        <v/>
      </c>
      <c r="G7" s="16">
        <f>Model!G16*Assumptions!$B$16*(1-Assumptions!$B$18)+Model!G17*Assumptions!$B$23*(1-Assumptions!$B$25)+Model!G18*Assumptions!$B$30*(1-Assumptions!$B$32)+Model!G19*Assumptions!$B$37*(1-Assumptions!$B$39)+Model!G20*Assumptions!$B$23*(1-Assumptions!$B$25)</f>
        <v/>
      </c>
      <c r="H7" s="16">
        <f>Model!H16*Assumptions!$B$16*(1-Assumptions!$B$18)+Model!H17*Assumptions!$B$23*(1-Assumptions!$B$25)+Model!H18*Assumptions!$B$30*(1-Assumptions!$B$32)+Model!H19*Assumptions!$B$37*(1-Assumptions!$B$39)+Model!H20*Assumptions!$B$23*(1-Assumptions!$B$25)</f>
        <v/>
      </c>
      <c r="I7" s="16">
        <f>Model!I16*Assumptions!$B$16*(1-Assumptions!$B$18)+Model!I17*Assumptions!$B$23*(1-Assumptions!$B$25)+Model!I18*Assumptions!$B$30*(1-Assumptions!$B$32)+Model!I19*Assumptions!$B$37*(1-Assumptions!$B$39)+Model!I20*Assumptions!$B$23*(1-Assumptions!$B$25)</f>
        <v/>
      </c>
      <c r="J7" s="16">
        <f>Model!J16*Assumptions!$B$16*(1-Assumptions!$B$18)+Model!J17*Assumptions!$B$23*(1-Assumptions!$B$25)+Model!J18*Assumptions!$B$30*(1-Assumptions!$B$32)+Model!J19*Assumptions!$B$37*(1-Assumptions!$B$39)+Model!J20*Assumptions!$B$23*(1-Assumptions!$B$25)</f>
        <v/>
      </c>
      <c r="K7" s="16">
        <f>Model!K16*Assumptions!$B$16*(1-Assumptions!$B$18)+Model!K17*Assumptions!$B$23*(1-Assumptions!$B$25)+Model!K18*Assumptions!$B$30*(1-Assumptions!$B$32)+Model!K19*Assumptions!$B$37*(1-Assumptions!$B$39)+Model!K20*Assumptions!$B$23*(1-Assumptions!$B$25)</f>
        <v/>
      </c>
      <c r="L7" s="16">
        <f>Model!L16*Assumptions!$B$16*(1-Assumptions!$B$18)+Model!L17*Assumptions!$B$23*(1-Assumptions!$B$25)+Model!L18*Assumptions!$B$30*(1-Assumptions!$B$32)+Model!L19*Assumptions!$B$37*(1-Assumptions!$B$39)+Model!L20*Assumptions!$B$23*(1-Assumptions!$B$25)</f>
        <v/>
      </c>
      <c r="M7" s="16">
        <f>Model!M16*Assumptions!$B$16*(1-Assumptions!$B$18)+Model!M17*Assumptions!$B$23*(1-Assumptions!$B$25)+Model!M18*Assumptions!$B$30*(1-Assumptions!$B$32)+Model!M19*Assumptions!$B$37*(1-Assumptions!$B$39)+Model!M20*Assumptions!$B$23*(1-Assumptions!$B$25)</f>
        <v/>
      </c>
      <c r="N7" s="16">
        <f>Model!N16*Assumptions!$B$16*(1-Assumptions!$B$18)+Model!N17*Assumptions!$B$23*(1-Assumptions!$B$25)+Model!N18*Assumptions!$B$30*(1-Assumptions!$B$32)+Model!N19*Assumptions!$B$37*(1-Assumptions!$B$39)+Model!N20*Assumptions!$B$23*(1-Assumptions!$B$25)</f>
        <v/>
      </c>
      <c r="O7" s="16">
        <f>Model!O16*Assumptions!$B$16*(1-Assumptions!$B$18)+Model!O17*Assumptions!$B$23*(1-Assumptions!$B$25)+Model!O18*Assumptions!$B$30*(1-Assumptions!$B$32)+Model!O19*Assumptions!$B$37*(1-Assumptions!$B$39)+Model!O20*Assumptions!$B$23*(1-Assumptions!$B$25)</f>
        <v/>
      </c>
      <c r="P7" s="16">
        <f>Model!P16*Assumptions!$B$16*(1-Assumptions!$B$18)+Model!P17*Assumptions!$B$23*(1-Assumptions!$B$25)+Model!P18*Assumptions!$B$30*(1-Assumptions!$B$32)+Model!P19*Assumptions!$B$37*(1-Assumptions!$B$39)+Model!P20*Assumptions!$B$23*(1-Assumptions!$B$25)</f>
        <v/>
      </c>
      <c r="Q7" s="16">
        <f>Model!Q16*Assumptions!$B$16*(1-Assumptions!$B$18)+Model!Q17*Assumptions!$B$23*(1-Assumptions!$B$25)+Model!Q18*Assumptions!$B$30*(1-Assumptions!$B$32)+Model!Q19*Assumptions!$B$37*(1-Assumptions!$B$39)+Model!Q20*Assumptions!$B$23*(1-Assumptions!$B$25)</f>
        <v/>
      </c>
      <c r="R7" s="16">
        <f>Model!R16*Assumptions!$B$16*(1-Assumptions!$B$18)+Model!R17*Assumptions!$B$23*(1-Assumptions!$B$25)+Model!R18*Assumptions!$B$30*(1-Assumptions!$B$32)+Model!R19*Assumptions!$B$37*(1-Assumptions!$B$39)+Model!R20*Assumptions!$B$23*(1-Assumptions!$B$25)</f>
        <v/>
      </c>
      <c r="S7" s="16">
        <f>Model!S16*Assumptions!$B$16*(1-Assumptions!$B$18)+Model!S17*Assumptions!$B$23*(1-Assumptions!$B$25)+Model!S18*Assumptions!$B$30*(1-Assumptions!$B$32)+Model!S19*Assumptions!$B$37*(1-Assumptions!$B$39)+Model!S20*Assumptions!$B$23*(1-Assumptions!$B$25)</f>
        <v/>
      </c>
      <c r="T7" s="16">
        <f>Model!T16*Assumptions!$B$16*(1-Assumptions!$B$18)+Model!T17*Assumptions!$B$23*(1-Assumptions!$B$25)+Model!T18*Assumptions!$B$30*(1-Assumptions!$B$32)+Model!T19*Assumptions!$B$37*(1-Assumptions!$B$39)+Model!T20*Assumptions!$B$23*(1-Assumptions!$B$25)</f>
        <v/>
      </c>
      <c r="U7" s="16">
        <f>Model!U16*Assumptions!$B$16*(1-Assumptions!$B$18)+Model!U17*Assumptions!$B$23*(1-Assumptions!$B$25)+Model!U18*Assumptions!$B$30*(1-Assumptions!$B$32)+Model!U19*Assumptions!$B$37*(1-Assumptions!$B$39)+Model!U20*Assumptions!$B$23*(1-Assumptions!$B$25)</f>
        <v/>
      </c>
      <c r="V7" s="16">
        <f>Model!V16*Assumptions!$B$16*(1-Assumptions!$B$18)+Model!V17*Assumptions!$B$23*(1-Assumptions!$B$25)+Model!V18*Assumptions!$B$30*(1-Assumptions!$B$32)+Model!V19*Assumptions!$B$37*(1-Assumptions!$B$39)+Model!V20*Assumptions!$B$23*(1-Assumptions!$B$25)</f>
        <v/>
      </c>
      <c r="W7" s="16">
        <f>Model!W16*Assumptions!$B$16*(1-Assumptions!$B$18)+Model!W17*Assumptions!$B$23*(1-Assumptions!$B$25)+Model!W18*Assumptions!$B$30*(1-Assumptions!$B$32)+Model!W19*Assumptions!$B$37*(1-Assumptions!$B$39)+Model!W20*Assumptions!$B$23*(1-Assumptions!$B$25)</f>
        <v/>
      </c>
      <c r="X7" s="16">
        <f>Model!X16*Assumptions!$B$16*(1-Assumptions!$B$18)+Model!X17*Assumptions!$B$23*(1-Assumptions!$B$25)+Model!X18*Assumptions!$B$30*(1-Assumptions!$B$32)+Model!X19*Assumptions!$B$37*(1-Assumptions!$B$39)+Model!X20*Assumptions!$B$23*(1-Assumptions!$B$25)</f>
        <v/>
      </c>
      <c r="Y7" s="16">
        <f>Model!Y16*Assumptions!$B$16*(1-Assumptions!$B$18)+Model!Y17*Assumptions!$B$23*(1-Assumptions!$B$25)+Model!Y18*Assumptions!$B$30*(1-Assumptions!$B$32)+Model!Y19*Assumptions!$B$37*(1-Assumptions!$B$39)+Model!Y20*Assumptions!$B$23*(1-Assumptions!$B$25)</f>
        <v/>
      </c>
    </row>
    <row r="8">
      <c r="A8" s="3" t="inlineStr">
        <is>
          <t>Total liabilities ₹</t>
        </is>
      </c>
      <c r="B8" s="16">
        <f>B7</f>
        <v/>
      </c>
      <c r="C8" s="16">
        <f>C7</f>
        <v/>
      </c>
      <c r="D8" s="16">
        <f>D7</f>
        <v/>
      </c>
      <c r="E8" s="16">
        <f>E7</f>
        <v/>
      </c>
      <c r="F8" s="16">
        <f>F7</f>
        <v/>
      </c>
      <c r="G8" s="16">
        <f>G7</f>
        <v/>
      </c>
      <c r="H8" s="16">
        <f>H7</f>
        <v/>
      </c>
      <c r="I8" s="16">
        <f>I7</f>
        <v/>
      </c>
      <c r="J8" s="16">
        <f>J7</f>
        <v/>
      </c>
      <c r="K8" s="16">
        <f>K7</f>
        <v/>
      </c>
      <c r="L8" s="16">
        <f>L7</f>
        <v/>
      </c>
      <c r="M8" s="16">
        <f>M7</f>
        <v/>
      </c>
      <c r="N8" s="16">
        <f>N7</f>
        <v/>
      </c>
      <c r="O8" s="16">
        <f>O7</f>
        <v/>
      </c>
      <c r="P8" s="16">
        <f>P7</f>
        <v/>
      </c>
      <c r="Q8" s="16">
        <f>Q7</f>
        <v/>
      </c>
      <c r="R8" s="16">
        <f>R7</f>
        <v/>
      </c>
      <c r="S8" s="16">
        <f>S7</f>
        <v/>
      </c>
      <c r="T8" s="16">
        <f>T7</f>
        <v/>
      </c>
      <c r="U8" s="16">
        <f>U7</f>
        <v/>
      </c>
      <c r="V8" s="16">
        <f>V7</f>
        <v/>
      </c>
      <c r="W8" s="16">
        <f>W7</f>
        <v/>
      </c>
      <c r="X8" s="16">
        <f>X7</f>
        <v/>
      </c>
      <c r="Y8" s="16">
        <f>Y7</f>
        <v/>
      </c>
    </row>
    <row r="9">
      <c r="A9" s="3" t="inlineStr">
        <is>
          <t>Equity (assets less liabilities) ₹</t>
        </is>
      </c>
      <c r="B9" s="16">
        <f>B6-B8</f>
        <v/>
      </c>
      <c r="C9" s="16">
        <f>C6-C8</f>
        <v/>
      </c>
      <c r="D9" s="16">
        <f>D6-D8</f>
        <v/>
      </c>
      <c r="E9" s="16">
        <f>E6-E8</f>
        <v/>
      </c>
      <c r="F9" s="16">
        <f>F6-F8</f>
        <v/>
      </c>
      <c r="G9" s="16">
        <f>G6-G8</f>
        <v/>
      </c>
      <c r="H9" s="16">
        <f>H6-H8</f>
        <v/>
      </c>
      <c r="I9" s="16">
        <f>I6-I8</f>
        <v/>
      </c>
      <c r="J9" s="16">
        <f>J6-J8</f>
        <v/>
      </c>
      <c r="K9" s="16">
        <f>K6-K8</f>
        <v/>
      </c>
      <c r="L9" s="16">
        <f>L6-L8</f>
        <v/>
      </c>
      <c r="M9" s="16">
        <f>M6-M8</f>
        <v/>
      </c>
      <c r="N9" s="16">
        <f>N6-N8</f>
        <v/>
      </c>
      <c r="O9" s="16">
        <f>O6-O8</f>
        <v/>
      </c>
      <c r="P9" s="16">
        <f>P6-P8</f>
        <v/>
      </c>
      <c r="Q9" s="16">
        <f>Q6-Q8</f>
        <v/>
      </c>
      <c r="R9" s="16">
        <f>R6-R8</f>
        <v/>
      </c>
      <c r="S9" s="16">
        <f>S6-S8</f>
        <v/>
      </c>
      <c r="T9" s="16">
        <f>T6-T8</f>
        <v/>
      </c>
      <c r="U9" s="16">
        <f>U6-U8</f>
        <v/>
      </c>
      <c r="V9" s="16">
        <f>V6-V8</f>
        <v/>
      </c>
      <c r="W9" s="16">
        <f>W6-W8</f>
        <v/>
      </c>
      <c r="X9" s="16">
        <f>X6-X8</f>
        <v/>
      </c>
      <c r="Y9" s="16">
        <f>Y6-Y8</f>
        <v/>
      </c>
    </row>
    <row r="10">
      <c r="A10" s="5" t="inlineStr">
        <is>
          <t>Runway at this month's burn, months</t>
        </is>
      </c>
      <c r="B10" s="20">
        <f>IF(Model!B46&gt;=0,"profitable",IF(B5&lt;=0,0,B5/-Model!B46))</f>
        <v/>
      </c>
      <c r="C10" s="20">
        <f>IF(Model!C46&gt;=0,"profitable",IF(C5&lt;=0,0,C5/-Model!C46))</f>
        <v/>
      </c>
      <c r="D10" s="20">
        <f>IF(Model!D46&gt;=0,"profitable",IF(D5&lt;=0,0,D5/-Model!D46))</f>
        <v/>
      </c>
      <c r="E10" s="20">
        <f>IF(Model!E46&gt;=0,"profitable",IF(E5&lt;=0,0,E5/-Model!E46))</f>
        <v/>
      </c>
      <c r="F10" s="20">
        <f>IF(Model!F46&gt;=0,"profitable",IF(F5&lt;=0,0,F5/-Model!F46))</f>
        <v/>
      </c>
      <c r="G10" s="20">
        <f>IF(Model!G46&gt;=0,"profitable",IF(G5&lt;=0,0,G5/-Model!G46))</f>
        <v/>
      </c>
      <c r="H10" s="20">
        <f>IF(Model!H46&gt;=0,"profitable",IF(H5&lt;=0,0,H5/-Model!H46))</f>
        <v/>
      </c>
      <c r="I10" s="20">
        <f>IF(Model!I46&gt;=0,"profitable",IF(I5&lt;=0,0,I5/-Model!I46))</f>
        <v/>
      </c>
      <c r="J10" s="20">
        <f>IF(Model!J46&gt;=0,"profitable",IF(J5&lt;=0,0,J5/-Model!J46))</f>
        <v/>
      </c>
      <c r="K10" s="20">
        <f>IF(Model!K46&gt;=0,"profitable",IF(K5&lt;=0,0,K5/-Model!K46))</f>
        <v/>
      </c>
      <c r="L10" s="20">
        <f>IF(Model!L46&gt;=0,"profitable",IF(L5&lt;=0,0,L5/-Model!L46))</f>
        <v/>
      </c>
      <c r="M10" s="20">
        <f>IF(Model!M46&gt;=0,"profitable",IF(M5&lt;=0,0,M5/-Model!M46))</f>
        <v/>
      </c>
      <c r="N10" s="20">
        <f>IF(Model!N46&gt;=0,"profitable",IF(N5&lt;=0,0,N5/-Model!N46))</f>
        <v/>
      </c>
      <c r="O10" s="20">
        <f>IF(Model!O46&gt;=0,"profitable",IF(O5&lt;=0,0,O5/-Model!O46))</f>
        <v/>
      </c>
      <c r="P10" s="20">
        <f>IF(Model!P46&gt;=0,"profitable",IF(P5&lt;=0,0,P5/-Model!P46))</f>
        <v/>
      </c>
      <c r="Q10" s="20">
        <f>IF(Model!Q46&gt;=0,"profitable",IF(Q5&lt;=0,0,Q5/-Model!Q46))</f>
        <v/>
      </c>
      <c r="R10" s="20">
        <f>IF(Model!R46&gt;=0,"profitable",IF(R5&lt;=0,0,R5/-Model!R46))</f>
        <v/>
      </c>
      <c r="S10" s="20">
        <f>IF(Model!S46&gt;=0,"profitable",IF(S5&lt;=0,0,S5/-Model!S46))</f>
        <v/>
      </c>
      <c r="T10" s="20">
        <f>IF(Model!T46&gt;=0,"profitable",IF(T5&lt;=0,0,T5/-Model!T46))</f>
        <v/>
      </c>
      <c r="U10" s="20">
        <f>IF(Model!U46&gt;=0,"profitable",IF(U5&lt;=0,0,U5/-Model!U46))</f>
        <v/>
      </c>
      <c r="V10" s="20">
        <f>IF(Model!V46&gt;=0,"profitable",IF(V5&lt;=0,0,V5/-Model!V46))</f>
        <v/>
      </c>
      <c r="W10" s="20">
        <f>IF(Model!W46&gt;=0,"profitable",IF(W5&lt;=0,0,W5/-Model!W46))</f>
        <v/>
      </c>
      <c r="X10" s="20">
        <f>IF(Model!X46&gt;=0,"profitable",IF(X5&lt;=0,0,X5/-Model!X46))</f>
        <v/>
      </c>
      <c r="Y10" s="20">
        <f>IF(Model!Y46&gt;=0,"profitable",IF(Y5&lt;=0,0,Y5/-Model!Y46))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Knowledge base caps, embedding cost and what we charge</t>
        </is>
      </c>
    </row>
    <row r="2">
      <c r="A2" s="2" t="inlineStr">
        <is>
          <t>Embeddings run on our own CPU (bge-m3), so the cost is compute and storage, not a vendor fee. Scanned pages go through Sarvam OCR.</t>
        </is>
      </c>
    </row>
    <row r="4">
      <c r="A4" s="14" t="inlineStr">
        <is>
          <t>Line</t>
        </is>
      </c>
      <c r="B4" s="14" t="inlineStr">
        <is>
          <t>Everyday</t>
        </is>
      </c>
      <c r="C4" s="14" t="inlineStr">
        <is>
          <t>Business</t>
        </is>
      </c>
      <c r="D4" s="14" t="inlineStr">
        <is>
          <t>Growth</t>
        </is>
      </c>
      <c r="E4" s="14" t="inlineStr">
        <is>
          <t>Scale</t>
        </is>
      </c>
    </row>
    <row r="5">
      <c r="A5" s="5" t="inlineStr">
        <is>
          <t>Pages included</t>
        </is>
      </c>
      <c r="B5" s="6">
        <f>Assumptions!$B$55</f>
        <v/>
      </c>
      <c r="C5" s="6">
        <f>Assumptions!$B$56</f>
        <v/>
      </c>
      <c r="D5" s="6">
        <f>Assumptions!$B$57</f>
        <v/>
      </c>
      <c r="E5" s="6">
        <f>Assumptions!$B$58</f>
        <v/>
      </c>
    </row>
    <row r="6">
      <c r="A6" s="5" t="inlineStr">
        <is>
          <t>Cost to us of the included pages ₹ (one-time)</t>
        </is>
      </c>
      <c r="B6" s="23">
        <f>B5*(Assumptions!$B$60+Assumptions!$B$62*Assumptions!$B$61)</f>
        <v/>
      </c>
      <c r="C6" s="23">
        <f>C5*(Assumptions!$B$60+Assumptions!$B$62*Assumptions!$B$61)</f>
        <v/>
      </c>
      <c r="D6" s="23">
        <f>D5*(Assumptions!$B$60+Assumptions!$B$62*Assumptions!$B$61)</f>
        <v/>
      </c>
      <c r="E6" s="23">
        <f>E5*(Assumptions!$B$60+Assumptions!$B$62*Assumptions!$B$61)</f>
        <v/>
      </c>
    </row>
    <row r="7">
      <c r="A7" s="5" t="inlineStr">
        <is>
          <t>Storage of included pages ₹/month</t>
        </is>
      </c>
      <c r="B7" s="25">
        <f>B5*Assumptions!$B$63</f>
        <v/>
      </c>
      <c r="C7" s="25">
        <f>C5*Assumptions!$B$63</f>
        <v/>
      </c>
      <c r="D7" s="25">
        <f>D5*Assumptions!$B$63</f>
        <v/>
      </c>
      <c r="E7" s="25">
        <f>E5*Assumptions!$B$63</f>
        <v/>
      </c>
    </row>
    <row r="8">
      <c r="A8" s="5" t="inlineStr">
        <is>
          <t>Credits charged per 10 typed pages over cap</t>
        </is>
      </c>
      <c r="B8" s="6">
        <f>Assumptions!$B$64</f>
        <v/>
      </c>
      <c r="C8" s="6">
        <f>Assumptions!$B$64</f>
        <v/>
      </c>
      <c r="D8" s="6">
        <f>Assumptions!$B$64</f>
        <v/>
      </c>
      <c r="E8" s="6">
        <f>Assumptions!$B$64</f>
        <v/>
      </c>
    </row>
    <row r="9">
      <c r="A9" s="5" t="inlineStr">
        <is>
          <t>Credits charged per scanned page over cap</t>
        </is>
      </c>
      <c r="B9" s="6">
        <f>Assumptions!$B$65</f>
        <v/>
      </c>
      <c r="C9" s="6">
        <f>Assumptions!$B$65</f>
        <v/>
      </c>
      <c r="D9" s="6">
        <f>Assumptions!$B$65</f>
        <v/>
      </c>
      <c r="E9" s="6">
        <f>Assumptions!$B$65</f>
        <v/>
      </c>
    </row>
    <row r="10">
      <c r="A10" s="5" t="inlineStr">
        <is>
          <t>Our cost per scanned page over cap ₹</t>
        </is>
      </c>
      <c r="B10" s="25">
        <f>Assumptions!$B$61+Assumptions!$B$60</f>
        <v/>
      </c>
      <c r="C10" s="25">
        <f>Assumptions!$B$61+Assumptions!$B$60</f>
        <v/>
      </c>
      <c r="D10" s="25">
        <f>Assumptions!$B$61+Assumptions!$B$60</f>
        <v/>
      </c>
      <c r="E10" s="25">
        <f>Assumptions!$B$61+Assumptions!$B$60</f>
        <v/>
      </c>
    </row>
    <row r="11">
      <c r="A11" s="5" t="inlineStr">
        <is>
          <t>Our cost per 10 typed pages over cap ₹</t>
        </is>
      </c>
      <c r="B11" s="25">
        <f>10*Assumptions!$B$60</f>
        <v/>
      </c>
      <c r="C11" s="25">
        <f>10*Assumptions!$B$60</f>
        <v/>
      </c>
      <c r="D11" s="25">
        <f>10*Assumptions!$B$60</f>
        <v/>
      </c>
      <c r="E11" s="25">
        <f>10*Assumptions!$B$60</f>
        <v/>
      </c>
    </row>
    <row r="12">
      <c r="A12" s="5" t="inlineStr">
        <is>
          <t>Margin per scanned page over cap ₹</t>
        </is>
      </c>
      <c r="B12" s="25">
        <f>B9*Assumptions!$B$11-B10</f>
        <v/>
      </c>
      <c r="C12" s="25">
        <f>C9*Assumptions!$B$11-C10</f>
        <v/>
      </c>
      <c r="D12" s="25">
        <f>D9*Assumptions!$B$11-D10</f>
        <v/>
      </c>
      <c r="E12" s="25">
        <f>E9*Assumptions!$B$11-E10</f>
        <v/>
      </c>
    </row>
    <row r="13">
      <c r="A13" s="5" t="inlineStr">
        <is>
          <t>Margin per 10 typed pages over cap ₹</t>
        </is>
      </c>
      <c r="B13" s="25">
        <f>B8*Assumptions!$B$11-B11</f>
        <v/>
      </c>
      <c r="C13" s="25">
        <f>C8*Assumptions!$B$11-C11</f>
        <v/>
      </c>
      <c r="D13" s="25">
        <f>D8*Assumptions!$B$11-D11</f>
        <v/>
      </c>
      <c r="E13" s="25">
        <f>E8*Assumptions!$B$11-E11</f>
        <v/>
      </c>
    </row>
    <row r="15">
      <c r="A15" s="3" t="inlineStr">
        <is>
          <t>Notes</t>
        </is>
      </c>
    </row>
    <row r="16">
      <c r="A16" s="9" t="inlineStr">
        <is>
          <t>Query-time embedding is inside the 2-credit knowledge answer. Re-embedding on a model change is free. Free plan: 50 pages, no OCR.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2026-09-14T19:51:00Z</dcterms:created>
  <dcterms:modified xsi:type="dcterms:W3CDTF">2026-09-14T19:51:00Z</dcterms:modified>
</cp:coreProperties>
</file>